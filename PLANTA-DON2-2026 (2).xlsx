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19635" windowHeight="7620"/>
  </bookViews>
  <sheets>
    <sheet name="FEB 13-19" sheetId="5" r:id="rId1"/>
    <sheet name="feb 6-12" sheetId="4" r:id="rId2"/>
    <sheet name="JAN 30-FEB 5" sheetId="3" r:id="rId3"/>
    <sheet name="JAN 23-29" sheetId="2" r:id="rId4"/>
    <sheet name="jan 16-22" sheetId="1" r:id="rId5"/>
  </sheets>
  <definedNames>
    <definedName name="_xlnm._FilterDatabase" localSheetId="0" hidden="1">'FEB 13-19'!$C$8:$M$28</definedName>
    <definedName name="_xlnm._FilterDatabase" localSheetId="1" hidden="1">'feb 6-12'!$B$7:$L$27</definedName>
    <definedName name="_xlnm._FilterDatabase" localSheetId="4" hidden="1">'jan 16-22'!$B$7:$L$28</definedName>
    <definedName name="_xlnm._FilterDatabase" localSheetId="3" hidden="1">'JAN 23-29'!$B$7:$L$28</definedName>
    <definedName name="_xlnm._FilterDatabase" localSheetId="2" hidden="1">'JAN 30-FEB 5'!$B$7:$L$28</definedName>
    <definedName name="_xlnm.Print_Area" localSheetId="0">'FEB 13-19'!$C$55:$S$82</definedName>
    <definedName name="_xlnm.Print_Area" localSheetId="1">'feb 6-12'!$B$2:$R$74</definedName>
    <definedName name="_xlnm.Print_Area" localSheetId="4">'jan 16-22'!$B$1:$R$76</definedName>
    <definedName name="_xlnm.Print_Area" localSheetId="3">'JAN 23-29'!$B$2:$R$76</definedName>
    <definedName name="_xlnm.Print_Area" localSheetId="2">'JAN 30-FEB 5'!$B$2:$R$76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8" i="5"/>
  <c r="Q69" i="1" l="1"/>
  <c r="P69"/>
  <c r="M69"/>
  <c r="Q68"/>
  <c r="P68"/>
  <c r="M68"/>
  <c r="Q67"/>
  <c r="P67"/>
  <c r="M67"/>
  <c r="Q66"/>
  <c r="P66"/>
  <c r="M66"/>
  <c r="Q65"/>
  <c r="P65"/>
  <c r="M65"/>
  <c r="Q64"/>
  <c r="P64"/>
  <c r="M64"/>
  <c r="K64"/>
  <c r="Q63"/>
  <c r="P63"/>
  <c r="M63"/>
  <c r="K63"/>
  <c r="Q62"/>
  <c r="P62"/>
  <c r="M62"/>
  <c r="Q61"/>
  <c r="P61"/>
  <c r="M61"/>
  <c r="Q60"/>
  <c r="P60"/>
  <c r="M60"/>
  <c r="K60"/>
  <c r="Q59"/>
  <c r="P59"/>
  <c r="M59"/>
  <c r="Q58"/>
  <c r="P58"/>
  <c r="M58"/>
  <c r="Q57"/>
  <c r="P57"/>
  <c r="M57"/>
  <c r="Q56"/>
  <c r="P56"/>
  <c r="M56"/>
  <c r="Q55"/>
  <c r="P55"/>
  <c r="M55"/>
  <c r="Q54"/>
  <c r="P54"/>
  <c r="M54"/>
  <c r="Q53"/>
  <c r="P53"/>
  <c r="M53"/>
  <c r="K53"/>
  <c r="Q52"/>
  <c r="P52"/>
  <c r="M52"/>
  <c r="Q51"/>
  <c r="P51"/>
  <c r="M51"/>
  <c r="K51"/>
  <c r="Q50"/>
  <c r="P50"/>
  <c r="M50"/>
  <c r="K50"/>
  <c r="Q49"/>
  <c r="P49"/>
  <c r="M49"/>
  <c r="K49"/>
  <c r="Q48"/>
  <c r="P48"/>
  <c r="M48"/>
  <c r="Q47"/>
  <c r="P47"/>
  <c r="M47"/>
  <c r="K47"/>
  <c r="Q46"/>
  <c r="P46"/>
  <c r="M46"/>
  <c r="Q45"/>
  <c r="P45"/>
  <c r="M45"/>
  <c r="K45"/>
  <c r="Q44"/>
  <c r="P44"/>
  <c r="M44"/>
  <c r="Q43"/>
  <c r="P43"/>
  <c r="M43"/>
  <c r="Q42"/>
  <c r="P42"/>
  <c r="M42"/>
  <c r="Q41"/>
  <c r="P41"/>
  <c r="M41"/>
  <c r="Q40"/>
  <c r="P40"/>
  <c r="M40"/>
  <c r="Q39"/>
  <c r="P39"/>
  <c r="M39"/>
  <c r="Q38"/>
  <c r="P38"/>
  <c r="M38"/>
  <c r="K38"/>
  <c r="Q37"/>
  <c r="P37"/>
  <c r="M37"/>
  <c r="K37"/>
  <c r="Q36"/>
  <c r="P36"/>
  <c r="M36"/>
  <c r="K36"/>
  <c r="Q35"/>
  <c r="P35"/>
  <c r="M35"/>
  <c r="Q34"/>
  <c r="P34"/>
  <c r="M34"/>
  <c r="K34"/>
  <c r="Q33"/>
  <c r="P33"/>
  <c r="M33"/>
  <c r="Q32"/>
  <c r="P32"/>
  <c r="M32"/>
  <c r="Q31"/>
  <c r="P31"/>
  <c r="M31"/>
  <c r="Q30"/>
  <c r="P30"/>
  <c r="M30"/>
  <c r="Q29"/>
  <c r="P29"/>
  <c r="M29"/>
  <c r="Q28"/>
  <c r="P28"/>
  <c r="M28"/>
  <c r="Q27"/>
  <c r="P27"/>
  <c r="M27"/>
  <c r="K27"/>
  <c r="Q26"/>
  <c r="P26"/>
  <c r="M26"/>
  <c r="Q25"/>
  <c r="P25"/>
  <c r="M25"/>
  <c r="K25"/>
  <c r="Q24"/>
  <c r="P24"/>
  <c r="M24"/>
  <c r="K24"/>
  <c r="Q23"/>
  <c r="P23"/>
  <c r="M23"/>
  <c r="K23"/>
  <c r="Q22"/>
  <c r="P22"/>
  <c r="M22"/>
  <c r="Q21"/>
  <c r="P21"/>
  <c r="M21"/>
  <c r="K21"/>
  <c r="Q20"/>
  <c r="P20"/>
  <c r="M20"/>
  <c r="K20"/>
  <c r="Q19"/>
  <c r="P19"/>
  <c r="M19"/>
  <c r="Q18"/>
  <c r="P18"/>
  <c r="M18"/>
  <c r="K18"/>
  <c r="Q17"/>
  <c r="P17"/>
  <c r="M17"/>
  <c r="K17"/>
  <c r="Q16"/>
  <c r="P16"/>
  <c r="M16"/>
  <c r="K16"/>
  <c r="Q15"/>
  <c r="P15"/>
  <c r="M15"/>
  <c r="K15"/>
  <c r="Q14"/>
  <c r="P14"/>
  <c r="M14"/>
  <c r="Q13"/>
  <c r="P13"/>
  <c r="M13"/>
  <c r="K13"/>
  <c r="Q12"/>
  <c r="P12"/>
  <c r="M12"/>
  <c r="Q11"/>
  <c r="P11"/>
  <c r="M11"/>
  <c r="Q10"/>
  <c r="P10"/>
  <c r="M10"/>
  <c r="Q9"/>
  <c r="P9"/>
  <c r="M9"/>
  <c r="Q8"/>
  <c r="P8"/>
  <c r="M8"/>
  <c r="K8"/>
  <c r="Q5"/>
  <c r="P5"/>
  <c r="M5"/>
  <c r="Q4"/>
  <c r="P4"/>
  <c r="M4"/>
  <c r="Q72" i="2"/>
  <c r="P72"/>
  <c r="Q69"/>
  <c r="P69"/>
  <c r="M69"/>
  <c r="Q68"/>
  <c r="P68"/>
  <c r="M68"/>
  <c r="Q67"/>
  <c r="P67"/>
  <c r="M67"/>
  <c r="Q66"/>
  <c r="P66"/>
  <c r="M66"/>
  <c r="Q65"/>
  <c r="P65"/>
  <c r="M65"/>
  <c r="Q64"/>
  <c r="P64"/>
  <c r="M64"/>
  <c r="Q63"/>
  <c r="P63"/>
  <c r="M63"/>
  <c r="K63"/>
  <c r="Q62"/>
  <c r="P62"/>
  <c r="M62"/>
  <c r="Q61"/>
  <c r="P61"/>
  <c r="M61"/>
  <c r="Q60"/>
  <c r="P60"/>
  <c r="M60"/>
  <c r="Q59"/>
  <c r="P59"/>
  <c r="M59"/>
  <c r="Q58"/>
  <c r="P58"/>
  <c r="M58"/>
  <c r="Q57"/>
  <c r="P57"/>
  <c r="M57"/>
  <c r="Q56"/>
  <c r="P56"/>
  <c r="M56"/>
  <c r="Q55"/>
  <c r="P55"/>
  <c r="M55"/>
  <c r="K55"/>
  <c r="Q54"/>
  <c r="P54"/>
  <c r="M54"/>
  <c r="Q53"/>
  <c r="P53"/>
  <c r="M53"/>
  <c r="Q52"/>
  <c r="P52"/>
  <c r="M52"/>
  <c r="Q51"/>
  <c r="P51"/>
  <c r="M51"/>
  <c r="K51"/>
  <c r="Q50"/>
  <c r="P50"/>
  <c r="M50"/>
  <c r="Q49"/>
  <c r="P49"/>
  <c r="M49"/>
  <c r="K49"/>
  <c r="Q48"/>
  <c r="P48"/>
  <c r="M48"/>
  <c r="Q47"/>
  <c r="P47"/>
  <c r="M47"/>
  <c r="Q46"/>
  <c r="P46"/>
  <c r="M46"/>
  <c r="Q45"/>
  <c r="K45"/>
  <c r="Q44"/>
  <c r="P44"/>
  <c r="M44"/>
  <c r="K44"/>
  <c r="Q43"/>
  <c r="P43"/>
  <c r="M43"/>
  <c r="Q42"/>
  <c r="P42"/>
  <c r="M42"/>
  <c r="Q41"/>
  <c r="P41"/>
  <c r="M41"/>
  <c r="Q40"/>
  <c r="P40"/>
  <c r="M40"/>
  <c r="Q39"/>
  <c r="P39"/>
  <c r="M39"/>
  <c r="Q38"/>
  <c r="P38"/>
  <c r="M38"/>
  <c r="K38"/>
  <c r="Q37"/>
  <c r="P37"/>
  <c r="M37"/>
  <c r="K37"/>
  <c r="Q36"/>
  <c r="P36"/>
  <c r="M36"/>
  <c r="Q35"/>
  <c r="P35"/>
  <c r="M35"/>
  <c r="Q34"/>
  <c r="P34"/>
  <c r="M34"/>
  <c r="K34"/>
  <c r="Q33"/>
  <c r="P33"/>
  <c r="M33"/>
  <c r="Q32"/>
  <c r="P32"/>
  <c r="M32"/>
  <c r="Q31"/>
  <c r="P31"/>
  <c r="M31"/>
  <c r="Q30"/>
  <c r="P30"/>
  <c r="M30"/>
  <c r="Q29"/>
  <c r="P29"/>
  <c r="M29"/>
  <c r="Q28"/>
  <c r="P28"/>
  <c r="M28"/>
  <c r="Q27"/>
  <c r="P27"/>
  <c r="M27"/>
  <c r="K27"/>
  <c r="Q26"/>
  <c r="P26"/>
  <c r="M26"/>
  <c r="Q25"/>
  <c r="P25"/>
  <c r="M25"/>
  <c r="K25"/>
  <c r="Q24"/>
  <c r="P24"/>
  <c r="M24"/>
  <c r="K24"/>
  <c r="Q23"/>
  <c r="P23"/>
  <c r="M23"/>
  <c r="K23"/>
  <c r="Q22"/>
  <c r="P22"/>
  <c r="M22"/>
  <c r="Q21"/>
  <c r="P21"/>
  <c r="M21"/>
  <c r="Q20"/>
  <c r="P20"/>
  <c r="M20"/>
  <c r="K20"/>
  <c r="Q19"/>
  <c r="P19"/>
  <c r="M19"/>
  <c r="Q18"/>
  <c r="P18"/>
  <c r="M18"/>
  <c r="Q17"/>
  <c r="P17"/>
  <c r="M17"/>
  <c r="Q16"/>
  <c r="P16"/>
  <c r="M16"/>
  <c r="K16"/>
  <c r="Q15"/>
  <c r="P15"/>
  <c r="M15"/>
  <c r="K15"/>
  <c r="Q14"/>
  <c r="P14"/>
  <c r="M14"/>
  <c r="Q13"/>
  <c r="P13"/>
  <c r="M13"/>
  <c r="K13"/>
  <c r="Q12"/>
  <c r="M12"/>
  <c r="K12"/>
  <c r="Q11"/>
  <c r="P11"/>
  <c r="M11"/>
  <c r="Q10"/>
  <c r="P10"/>
  <c r="M10"/>
  <c r="Q9"/>
  <c r="P9"/>
  <c r="M9"/>
  <c r="Q8"/>
  <c r="P8"/>
  <c r="M8"/>
  <c r="K8"/>
  <c r="Q5"/>
  <c r="P5"/>
  <c r="M5"/>
  <c r="Q4"/>
  <c r="P4"/>
  <c r="M4"/>
  <c r="Q72" i="3"/>
  <c r="P72"/>
  <c r="Q69"/>
  <c r="P69"/>
  <c r="M69"/>
  <c r="Q68"/>
  <c r="P68"/>
  <c r="M68"/>
  <c r="Q67"/>
  <c r="P67"/>
  <c r="M67"/>
  <c r="K67"/>
  <c r="Q66"/>
  <c r="P66"/>
  <c r="M66"/>
  <c r="Q65"/>
  <c r="P65"/>
  <c r="M65"/>
  <c r="Q64"/>
  <c r="P64"/>
  <c r="M64"/>
  <c r="Q63"/>
  <c r="P63"/>
  <c r="M63"/>
  <c r="K63"/>
  <c r="Q62"/>
  <c r="P62"/>
  <c r="M62"/>
  <c r="Q61"/>
  <c r="P61"/>
  <c r="M61"/>
  <c r="Q60"/>
  <c r="P60"/>
  <c r="M60"/>
  <c r="Q59"/>
  <c r="P59"/>
  <c r="M59"/>
  <c r="Q58"/>
  <c r="P58"/>
  <c r="M58"/>
  <c r="Q57"/>
  <c r="P57"/>
  <c r="M57"/>
  <c r="K57"/>
  <c r="Q56"/>
  <c r="P56"/>
  <c r="M56"/>
  <c r="Q55"/>
  <c r="P55"/>
  <c r="M55"/>
  <c r="K55"/>
  <c r="Q54"/>
  <c r="P54"/>
  <c r="M54"/>
  <c r="Q53"/>
  <c r="P53"/>
  <c r="M53"/>
  <c r="Q52"/>
  <c r="P52"/>
  <c r="M52"/>
  <c r="Q51"/>
  <c r="P51"/>
  <c r="M51"/>
  <c r="K51"/>
  <c r="Q50"/>
  <c r="P50"/>
  <c r="M50"/>
  <c r="K50"/>
  <c r="Q49"/>
  <c r="P49"/>
  <c r="M49"/>
  <c r="K49"/>
  <c r="Q48"/>
  <c r="P48"/>
  <c r="M48"/>
  <c r="Q47"/>
  <c r="P47"/>
  <c r="M47"/>
  <c r="K47"/>
  <c r="Q46"/>
  <c r="P46"/>
  <c r="M46"/>
  <c r="Q45"/>
  <c r="P45"/>
  <c r="M45"/>
  <c r="K45"/>
  <c r="Q44"/>
  <c r="P44"/>
  <c r="M44"/>
  <c r="K44"/>
  <c r="Q43"/>
  <c r="P43"/>
  <c r="M43"/>
  <c r="Q42"/>
  <c r="P42"/>
  <c r="M42"/>
  <c r="Q41"/>
  <c r="P41"/>
  <c r="M41"/>
  <c r="Q40"/>
  <c r="P40"/>
  <c r="M40"/>
  <c r="Q39"/>
  <c r="P39"/>
  <c r="M39"/>
  <c r="Q38"/>
  <c r="P38"/>
  <c r="M38"/>
  <c r="K38"/>
  <c r="Q37"/>
  <c r="P37"/>
  <c r="M37"/>
  <c r="K37"/>
  <c r="Q36"/>
  <c r="P36"/>
  <c r="M36"/>
  <c r="K36"/>
  <c r="Q35"/>
  <c r="P35"/>
  <c r="M35"/>
  <c r="Q34"/>
  <c r="P34"/>
  <c r="M34"/>
  <c r="Q33"/>
  <c r="P33"/>
  <c r="M33"/>
  <c r="Q32"/>
  <c r="P32"/>
  <c r="M32"/>
  <c r="Q31"/>
  <c r="P31"/>
  <c r="M31"/>
  <c r="Q30"/>
  <c r="P30"/>
  <c r="M30"/>
  <c r="Q29"/>
  <c r="P29"/>
  <c r="M29"/>
  <c r="Q28"/>
  <c r="P28"/>
  <c r="M28"/>
  <c r="Q27"/>
  <c r="P27"/>
  <c r="M27"/>
  <c r="Q26"/>
  <c r="P26"/>
  <c r="M26"/>
  <c r="Q25"/>
  <c r="P25"/>
  <c r="M25"/>
  <c r="K25"/>
  <c r="Q24"/>
  <c r="P24"/>
  <c r="M24"/>
  <c r="Q23"/>
  <c r="P23"/>
  <c r="M23"/>
  <c r="K23"/>
  <c r="Q22"/>
  <c r="P22"/>
  <c r="M22"/>
  <c r="Q21"/>
  <c r="P21"/>
  <c r="M21"/>
  <c r="K21"/>
  <c r="Q20"/>
  <c r="P20"/>
  <c r="M20"/>
  <c r="K20"/>
  <c r="Q19"/>
  <c r="P19"/>
  <c r="M19"/>
  <c r="Q18"/>
  <c r="P18"/>
  <c r="M18"/>
  <c r="Q17"/>
  <c r="P17"/>
  <c r="M17"/>
  <c r="K17"/>
  <c r="Q16"/>
  <c r="P16"/>
  <c r="M16"/>
  <c r="K16"/>
  <c r="Q15"/>
  <c r="P15"/>
  <c r="M15"/>
  <c r="K15"/>
  <c r="Q14"/>
  <c r="P14"/>
  <c r="M14"/>
  <c r="Q13"/>
  <c r="P13"/>
  <c r="M13"/>
  <c r="K13"/>
  <c r="Q12"/>
  <c r="P12"/>
  <c r="M12"/>
  <c r="Q11"/>
  <c r="P11"/>
  <c r="M11"/>
  <c r="Q10"/>
  <c r="P10"/>
  <c r="M10"/>
  <c r="Q9"/>
  <c r="P9"/>
  <c r="M9"/>
  <c r="Q8"/>
  <c r="P8"/>
  <c r="M8"/>
  <c r="K8"/>
  <c r="Q5"/>
  <c r="P5"/>
  <c r="M5"/>
  <c r="Q4"/>
  <c r="P4"/>
  <c r="M4"/>
  <c r="Q70" i="4"/>
  <c r="P70"/>
  <c r="Q67"/>
  <c r="P67"/>
  <c r="M67"/>
  <c r="Q66"/>
  <c r="P66"/>
  <c r="M66"/>
  <c r="Q65"/>
  <c r="P65"/>
  <c r="M65"/>
  <c r="Q64"/>
  <c r="P64"/>
  <c r="M64"/>
  <c r="Q63"/>
  <c r="P63"/>
  <c r="M63"/>
  <c r="Q62"/>
  <c r="P62"/>
  <c r="M62"/>
  <c r="Q61"/>
  <c r="P61"/>
  <c r="M61"/>
  <c r="Q60"/>
  <c r="P60"/>
  <c r="M60"/>
  <c r="Q59"/>
  <c r="P59"/>
  <c r="M59"/>
  <c r="Q58"/>
  <c r="P58"/>
  <c r="M58"/>
  <c r="K58"/>
  <c r="Q57"/>
  <c r="P57"/>
  <c r="M57"/>
  <c r="Q56"/>
  <c r="P56"/>
  <c r="M56"/>
  <c r="Q55"/>
  <c r="P55"/>
  <c r="M55"/>
  <c r="Q54"/>
  <c r="P54"/>
  <c r="M54"/>
  <c r="Q53"/>
  <c r="P53"/>
  <c r="M53"/>
  <c r="Q52"/>
  <c r="P52"/>
  <c r="M52"/>
  <c r="Q51"/>
  <c r="P51"/>
  <c r="M51"/>
  <c r="K51"/>
  <c r="Q50"/>
  <c r="P50"/>
  <c r="M50"/>
  <c r="Q49"/>
  <c r="P49"/>
  <c r="M49"/>
  <c r="Q48"/>
  <c r="P48"/>
  <c r="M48"/>
  <c r="Q47"/>
  <c r="P47"/>
  <c r="M47"/>
  <c r="K47"/>
  <c r="Q46"/>
  <c r="P46"/>
  <c r="M46"/>
  <c r="Q45"/>
  <c r="P45"/>
  <c r="M45"/>
  <c r="Q44"/>
  <c r="P44"/>
  <c r="M44"/>
  <c r="K44"/>
  <c r="Q43"/>
  <c r="P43"/>
  <c r="M43"/>
  <c r="Q42"/>
  <c r="P42"/>
  <c r="M42"/>
  <c r="K42"/>
  <c r="Q41"/>
  <c r="P41"/>
  <c r="M41"/>
  <c r="Q40"/>
  <c r="P40"/>
  <c r="M40"/>
  <c r="Q39"/>
  <c r="P39"/>
  <c r="M39"/>
  <c r="Q38"/>
  <c r="P38"/>
  <c r="M38"/>
  <c r="Q37"/>
  <c r="P37"/>
  <c r="M37"/>
  <c r="Q36"/>
  <c r="P36"/>
  <c r="M36"/>
  <c r="K36"/>
  <c r="Q35"/>
  <c r="P35"/>
  <c r="M35"/>
  <c r="K35"/>
  <c r="Q34"/>
  <c r="P34"/>
  <c r="M34"/>
  <c r="Q33"/>
  <c r="P33"/>
  <c r="M33"/>
  <c r="Q32"/>
  <c r="P32"/>
  <c r="M32"/>
  <c r="K32"/>
  <c r="Q31"/>
  <c r="P31"/>
  <c r="M31"/>
  <c r="Q30"/>
  <c r="P30"/>
  <c r="M30"/>
  <c r="Q29"/>
  <c r="P29"/>
  <c r="M29"/>
  <c r="Q28"/>
  <c r="P28"/>
  <c r="M28"/>
  <c r="Q27"/>
  <c r="P27"/>
  <c r="M27"/>
  <c r="K27"/>
  <c r="Q26"/>
  <c r="P26"/>
  <c r="M26"/>
  <c r="Q25"/>
  <c r="P25"/>
  <c r="M25"/>
  <c r="Q24"/>
  <c r="P24"/>
  <c r="M24"/>
  <c r="K24"/>
  <c r="Q23"/>
  <c r="P23"/>
  <c r="M23"/>
  <c r="Q22"/>
  <c r="P22"/>
  <c r="M22"/>
  <c r="Q21"/>
  <c r="P21"/>
  <c r="M21"/>
  <c r="Q20"/>
  <c r="P20"/>
  <c r="M20"/>
  <c r="K20"/>
  <c r="Q19"/>
  <c r="P19"/>
  <c r="M19"/>
  <c r="Q18"/>
  <c r="P18"/>
  <c r="M18"/>
  <c r="Q17"/>
  <c r="P17"/>
  <c r="M17"/>
  <c r="Q16"/>
  <c r="P16"/>
  <c r="M16"/>
  <c r="K16"/>
  <c r="Q15"/>
  <c r="P15"/>
  <c r="M15"/>
  <c r="K15"/>
  <c r="Q14"/>
  <c r="P14"/>
  <c r="M14"/>
  <c r="Q13"/>
  <c r="P13"/>
  <c r="M13"/>
  <c r="K13"/>
  <c r="Q12"/>
  <c r="P12"/>
  <c r="M12"/>
  <c r="Q11"/>
  <c r="P11"/>
  <c r="M11"/>
  <c r="Q10"/>
  <c r="P10"/>
  <c r="M10"/>
  <c r="Q9"/>
  <c r="P9"/>
  <c r="M9"/>
  <c r="Q8"/>
  <c r="P8"/>
  <c r="M8"/>
  <c r="K8"/>
  <c r="Q5"/>
  <c r="P5"/>
  <c r="O5"/>
  <c r="M5"/>
  <c r="Q4"/>
  <c r="P4"/>
  <c r="M4"/>
  <c r="R75" i="5"/>
  <c r="N75"/>
  <c r="L75"/>
  <c r="Q75" s="1"/>
  <c r="R74"/>
  <c r="N74"/>
  <c r="Q74" s="1"/>
  <c r="N73"/>
  <c r="L73"/>
  <c r="Q73" s="1"/>
  <c r="R73" s="1"/>
  <c r="R72"/>
  <c r="N72"/>
  <c r="L72"/>
  <c r="Q72" s="1"/>
  <c r="N71"/>
  <c r="L71"/>
  <c r="N70"/>
  <c r="L70"/>
  <c r="N69"/>
  <c r="L69"/>
  <c r="Q69" s="1"/>
  <c r="R69" s="1"/>
  <c r="R68"/>
  <c r="N68"/>
  <c r="Q68" s="1"/>
  <c r="N67"/>
  <c r="Q67" s="1"/>
  <c r="R67" s="1"/>
  <c r="R66"/>
  <c r="N66"/>
  <c r="L66"/>
  <c r="Q66" s="1"/>
  <c r="N65"/>
  <c r="L65"/>
  <c r="N64"/>
  <c r="L64"/>
  <c r="N63"/>
  <c r="L63"/>
  <c r="Q63" s="1"/>
  <c r="R63" s="1"/>
  <c r="R62"/>
  <c r="N62"/>
  <c r="Q62" s="1"/>
  <c r="N61"/>
  <c r="Q61" s="1"/>
  <c r="R61" s="1"/>
  <c r="R60"/>
  <c r="N60"/>
  <c r="Q60" s="1"/>
  <c r="N59"/>
  <c r="L59"/>
  <c r="R58"/>
  <c r="N58"/>
  <c r="Q58" s="1"/>
  <c r="R57"/>
  <c r="N57"/>
  <c r="Q57" s="1"/>
  <c r="R56"/>
  <c r="N56"/>
  <c r="Q56" s="1"/>
  <c r="R55"/>
  <c r="N55"/>
  <c r="Q55" s="1"/>
  <c r="R54"/>
  <c r="N54"/>
  <c r="Q54" s="1"/>
  <c r="N53"/>
  <c r="L53"/>
  <c r="N52"/>
  <c r="Q52" s="1"/>
  <c r="R52" s="1"/>
  <c r="R51"/>
  <c r="N51"/>
  <c r="Q51" s="1"/>
  <c r="N50"/>
  <c r="Q50" s="1"/>
  <c r="R50" s="1"/>
  <c r="R49"/>
  <c r="N49"/>
  <c r="Q49" s="1"/>
  <c r="N48"/>
  <c r="Q48" s="1"/>
  <c r="R48" s="1"/>
  <c r="R47"/>
  <c r="N47"/>
  <c r="Q47" s="1"/>
  <c r="N46"/>
  <c r="L46"/>
  <c r="R45"/>
  <c r="N45"/>
  <c r="Q45" s="1"/>
  <c r="R44"/>
  <c r="N44"/>
  <c r="Q44" s="1"/>
  <c r="N43"/>
  <c r="L43"/>
  <c r="Q43" s="1"/>
  <c r="R43" s="1"/>
  <c r="R42"/>
  <c r="N42"/>
  <c r="Q42" s="1"/>
  <c r="N41"/>
  <c r="Q41" s="1"/>
  <c r="R41" s="1"/>
  <c r="R40"/>
  <c r="N40"/>
  <c r="Q40" s="1"/>
  <c r="N39"/>
  <c r="Q39" s="1"/>
  <c r="R39" s="1"/>
  <c r="R38"/>
  <c r="N38"/>
  <c r="Q38" s="1"/>
  <c r="N37"/>
  <c r="Q37" s="1"/>
  <c r="R37" s="1"/>
  <c r="R36"/>
  <c r="N36"/>
  <c r="Q36" s="1"/>
  <c r="N35"/>
  <c r="L35"/>
  <c r="R34"/>
  <c r="N34"/>
  <c r="Q34" s="1"/>
  <c r="R33"/>
  <c r="N33"/>
  <c r="Q33" s="1"/>
  <c r="N32"/>
  <c r="L32"/>
  <c r="Q32" s="1"/>
  <c r="R32" s="1"/>
  <c r="N31"/>
  <c r="L31"/>
  <c r="N30"/>
  <c r="L30"/>
  <c r="N29"/>
  <c r="L29"/>
  <c r="R28"/>
  <c r="N28"/>
  <c r="Q28" s="1"/>
  <c r="R27"/>
  <c r="N27"/>
  <c r="Q27" s="1"/>
  <c r="R26"/>
  <c r="N26"/>
  <c r="Q26" s="1"/>
  <c r="N25"/>
  <c r="L25"/>
  <c r="N24"/>
  <c r="L24"/>
  <c r="R23"/>
  <c r="N23"/>
  <c r="Q23" s="1"/>
  <c r="R22"/>
  <c r="N22"/>
  <c r="Q22" s="1"/>
  <c r="N21"/>
  <c r="L21"/>
  <c r="Q21" s="1"/>
  <c r="R21" s="1"/>
  <c r="R20"/>
  <c r="N20"/>
  <c r="Q20" s="1"/>
  <c r="N19"/>
  <c r="Q19" s="1"/>
  <c r="R19" s="1"/>
  <c r="R18"/>
  <c r="N18"/>
  <c r="Q18" s="1"/>
  <c r="N17"/>
  <c r="Q17" s="1"/>
  <c r="R17" s="1"/>
  <c r="N16"/>
  <c r="L16"/>
  <c r="R15"/>
  <c r="N15"/>
  <c r="Q15" s="1"/>
  <c r="R14"/>
  <c r="N14"/>
  <c r="Q14" s="1"/>
  <c r="R13"/>
  <c r="N13"/>
  <c r="Q13" s="1"/>
  <c r="R12"/>
  <c r="N12"/>
  <c r="Q12" s="1"/>
  <c r="R11"/>
  <c r="N11"/>
  <c r="Q11" s="1"/>
  <c r="R10"/>
  <c r="N10"/>
  <c r="Q10" s="1"/>
  <c r="N9"/>
  <c r="L9"/>
  <c r="P6"/>
  <c r="N6"/>
  <c r="Q6" s="1"/>
  <c r="R6" s="1"/>
  <c r="N5"/>
  <c r="Q5" s="1"/>
  <c r="R5" l="1"/>
  <c r="Q9"/>
  <c r="R9" s="1"/>
  <c r="Q24"/>
  <c r="R24" s="1"/>
  <c r="Q46"/>
  <c r="R46" s="1"/>
  <c r="Q64"/>
  <c r="R64" s="1"/>
  <c r="Q25"/>
  <c r="R25" s="1"/>
  <c r="Q30"/>
  <c r="R30" s="1"/>
  <c r="Q53"/>
  <c r="R53" s="1"/>
  <c r="Q65"/>
  <c r="R65" s="1"/>
  <c r="Q71"/>
  <c r="R71" s="1"/>
  <c r="Q35"/>
  <c r="R35" s="1"/>
  <c r="Q59"/>
  <c r="R59" s="1"/>
  <c r="Q70"/>
  <c r="R70" s="1"/>
  <c r="Q16"/>
  <c r="R16" s="1"/>
  <c r="Q31"/>
  <c r="R31" s="1"/>
  <c r="Q29"/>
  <c r="R29" s="1"/>
  <c r="Q78" l="1"/>
  <c r="R78"/>
</calcChain>
</file>

<file path=xl/sharedStrings.xml><?xml version="1.0" encoding="utf-8"?>
<sst xmlns="http://schemas.openxmlformats.org/spreadsheetml/2006/main" count="401" uniqueCount="105">
  <si>
    <t>Macrock Lime Stone</t>
  </si>
  <si>
    <t>Period Covered: feb 13-19, 2026</t>
  </si>
  <si>
    <t>Bacol, Vivian</t>
  </si>
  <si>
    <t>Ylagan Robert</t>
  </si>
  <si>
    <t>COMMISION SCHEDULE</t>
  </si>
  <si>
    <t xml:space="preserve">Name:  </t>
  </si>
  <si>
    <t>FRI</t>
  </si>
  <si>
    <t>SAT</t>
  </si>
  <si>
    <t>SUN</t>
  </si>
  <si>
    <t>MON</t>
  </si>
  <si>
    <t>TUE</t>
  </si>
  <si>
    <t>WENS</t>
  </si>
  <si>
    <t>THUR</t>
  </si>
  <si>
    <t>DAYS</t>
  </si>
  <si>
    <t>O.T</t>
  </si>
  <si>
    <t>total o.t</t>
  </si>
  <si>
    <t>Daily Rate</t>
  </si>
  <si>
    <t>Signature</t>
  </si>
  <si>
    <t>Abaday Emelyn</t>
  </si>
  <si>
    <t>Abaday Ike Jun</t>
  </si>
  <si>
    <t>Absin Jimmy</t>
  </si>
  <si>
    <t>Abunda Bobby</t>
  </si>
  <si>
    <t>Abunda, Renjay</t>
  </si>
  <si>
    <t>Alimbog , Gabby</t>
  </si>
  <si>
    <t>Alimbog , jhon</t>
  </si>
  <si>
    <t>Alimbog Hilbert</t>
  </si>
  <si>
    <t>Alimbog, Livy</t>
  </si>
  <si>
    <t>Alimbog,marque</t>
  </si>
  <si>
    <t>Amoncio,Jendel</t>
  </si>
  <si>
    <t>Andaol Zerbi</t>
  </si>
  <si>
    <t>Angan, e</t>
  </si>
  <si>
    <t>Arnesx Sarinao</t>
  </si>
  <si>
    <t>Atlawan, jimboy</t>
  </si>
  <si>
    <t>Baculio Daren</t>
  </si>
  <si>
    <t>Baculio Rosito</t>
  </si>
  <si>
    <t>Balbuena Randy</t>
  </si>
  <si>
    <t>bayantong Edgar</t>
  </si>
  <si>
    <t>Bulak Marvin</t>
  </si>
  <si>
    <t>Bulak Melvin</t>
  </si>
  <si>
    <t>Bulak Norvin</t>
  </si>
  <si>
    <t>Bulak, Alvin</t>
  </si>
  <si>
    <t>Cabornay, Celio</t>
  </si>
  <si>
    <t>Camahay Diego</t>
  </si>
  <si>
    <t>Cartahan , Kevin</t>
  </si>
  <si>
    <t>Cartahan, boboy</t>
  </si>
  <si>
    <t>Conahan,Aaron</t>
  </si>
  <si>
    <t>Curbo Regie</t>
  </si>
  <si>
    <t>Dagalia Cruz Popoy</t>
  </si>
  <si>
    <t>Dagpong crist</t>
  </si>
  <si>
    <t>Datuin James</t>
  </si>
  <si>
    <t>Decaso Jclaid</t>
  </si>
  <si>
    <t>Espina Aida</t>
  </si>
  <si>
    <t>Felizarda,Lintacan</t>
  </si>
  <si>
    <t>Funa, Muela</t>
  </si>
  <si>
    <t>Gonhay Jemmuel</t>
  </si>
  <si>
    <t>Guilan MEnard</t>
  </si>
  <si>
    <t>Lan ayan Raul</t>
  </si>
  <si>
    <t>Lan-ayan Renemee</t>
  </si>
  <si>
    <t>Lastimosa Ricky</t>
  </si>
  <si>
    <t>Mahunyag, christ</t>
  </si>
  <si>
    <t>Marjunel Angan</t>
  </si>
  <si>
    <t>Pagayod Beebth</t>
  </si>
  <si>
    <t>Pagayon jason</t>
  </si>
  <si>
    <t>Pagayon Joanrd</t>
  </si>
  <si>
    <t>Renel Angan</t>
  </si>
  <si>
    <t>Sagansan Jerry</t>
  </si>
  <si>
    <t>sagansan renie</t>
  </si>
  <si>
    <t>Sagansan, Dexter</t>
  </si>
  <si>
    <t>Salait Ariel</t>
  </si>
  <si>
    <t>Sandalan jevin</t>
  </si>
  <si>
    <t>Sumayan Roland</t>
  </si>
  <si>
    <t>ubanan Enel</t>
  </si>
  <si>
    <t>Yake jordan</t>
  </si>
  <si>
    <t>Yake rex</t>
  </si>
  <si>
    <t>Yake rodonio</t>
  </si>
  <si>
    <t>Yanuhon JOvil</t>
  </si>
  <si>
    <t>Yunson Alfred</t>
  </si>
  <si>
    <t>Yunson niper</t>
  </si>
  <si>
    <t>Alimbog,Rolly</t>
  </si>
  <si>
    <t>Francisco, Mark</t>
  </si>
  <si>
    <t>Alimbog, Alquin</t>
  </si>
  <si>
    <t>Igot, Marani</t>
  </si>
  <si>
    <t>Lagnas, Jovan</t>
  </si>
  <si>
    <t>Catuan, Ryan</t>
  </si>
  <si>
    <t>Tumantan, Roalndo</t>
  </si>
  <si>
    <t>TOTAL</t>
  </si>
  <si>
    <t>Prepared by :</t>
  </si>
  <si>
    <t xml:space="preserve">                 Aislyn Lintawahan</t>
  </si>
  <si>
    <t>d</t>
  </si>
  <si>
    <t>Period Covered: feb 6-12, 2026</t>
  </si>
  <si>
    <t>Days</t>
  </si>
  <si>
    <t>sss oct</t>
  </si>
  <si>
    <t>yUnson niper</t>
  </si>
  <si>
    <t>Period Covered: JAN 30-FEB 5, 2026</t>
  </si>
  <si>
    <t>FULLY PAID</t>
  </si>
  <si>
    <t>cash</t>
  </si>
  <si>
    <t>Amandaron JImmy</t>
  </si>
  <si>
    <t>Guilan MElchor</t>
  </si>
  <si>
    <t>Sagansan, Jeran</t>
  </si>
  <si>
    <t>Tomonglay, Rhyder</t>
  </si>
  <si>
    <t>Amandon Junibert</t>
  </si>
  <si>
    <t>Period Covered: jan 23-29, 2026</t>
  </si>
  <si>
    <t>o</t>
  </si>
  <si>
    <t>Period Covered: jan 16-22, 2026</t>
  </si>
  <si>
    <t>Datuin Jame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</si>
</sst>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b/>
      <sz val="18"/>
      <name val="Trebuchet MS"/>
      <family val="2"/>
    </font>
    <font>
      <b/>
      <sz val="14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1C1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59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0" xfId="0" applyFill="1"/>
    <xf numFmtId="0" fontId="0" fillId="0" borderId="1" xfId="0" applyBorder="1"/>
    <xf numFmtId="0" fontId="0" fillId="0" borderId="0" xfId="0" applyFont="1" applyFill="1"/>
    <xf numFmtId="0" fontId="3" fillId="0" borderId="1" xfId="0" applyFont="1" applyFill="1" applyBorder="1" applyAlignment="1">
      <alignment horizontal="center"/>
    </xf>
    <xf numFmtId="0" fontId="4" fillId="0" borderId="1" xfId="0" applyFont="1" applyFill="1" applyBorder="1"/>
    <xf numFmtId="0" fontId="0" fillId="0" borderId="1" xfId="0" applyFont="1" applyFill="1" applyBorder="1"/>
    <xf numFmtId="0" fontId="0" fillId="2" borderId="1" xfId="0" applyFont="1" applyFill="1" applyBorder="1"/>
    <xf numFmtId="0" fontId="5" fillId="5" borderId="6" xfId="0" applyFont="1" applyFill="1" applyBorder="1" applyAlignment="1">
      <alignment wrapText="1"/>
    </xf>
    <xf numFmtId="0" fontId="6" fillId="5" borderId="7" xfId="0" applyFont="1" applyFill="1" applyBorder="1" applyAlignment="1">
      <alignment horizontal="center" vertical="center" wrapText="1"/>
    </xf>
    <xf numFmtId="16" fontId="6" fillId="0" borderId="7" xfId="0" applyNumberFormat="1" applyFont="1" applyFill="1" applyBorder="1" applyAlignment="1">
      <alignment horizontal="center" vertical="center" wrapText="1"/>
    </xf>
    <xf numFmtId="16" fontId="4" fillId="0" borderId="7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0" fillId="0" borderId="8" xfId="0" applyFont="1" applyFill="1" applyBorder="1"/>
    <xf numFmtId="0" fontId="0" fillId="2" borderId="8" xfId="0" applyFont="1" applyFill="1" applyBorder="1"/>
    <xf numFmtId="0" fontId="4" fillId="0" borderId="8" xfId="0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0" fontId="7" fillId="0" borderId="1" xfId="0" applyFont="1" applyFill="1" applyBorder="1" applyAlignment="1">
      <alignment horizontal="right"/>
    </xf>
    <xf numFmtId="0" fontId="7" fillId="2" borderId="1" xfId="0" applyFont="1" applyFill="1" applyBorder="1" applyAlignment="1">
      <alignment horizontal="right"/>
    </xf>
    <xf numFmtId="0" fontId="0" fillId="0" borderId="1" xfId="0" applyFont="1" applyBorder="1" applyAlignment="1">
      <alignment horizontal="right"/>
    </xf>
    <xf numFmtId="0" fontId="0" fillId="0" borderId="1" xfId="0" applyFont="1" applyFill="1" applyBorder="1" applyAlignment="1">
      <alignment horizontal="right"/>
    </xf>
    <xf numFmtId="0" fontId="0" fillId="2" borderId="1" xfId="0" applyFont="1" applyFill="1" applyBorder="1" applyAlignment="1">
      <alignment horizontal="right"/>
    </xf>
    <xf numFmtId="0" fontId="4" fillId="0" borderId="1" xfId="0" applyNumberFormat="1" applyFont="1" applyFill="1" applyBorder="1"/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top"/>
    </xf>
    <xf numFmtId="43" fontId="4" fillId="0" borderId="1" xfId="1" applyFont="1" applyFill="1" applyBorder="1"/>
    <xf numFmtId="0" fontId="4" fillId="0" borderId="1" xfId="0" applyFont="1" applyBorder="1" applyAlignment="1">
      <alignment horizontal="center" vertical="top"/>
    </xf>
    <xf numFmtId="0" fontId="4" fillId="0" borderId="8" xfId="0" applyFont="1" applyFill="1" applyBorder="1" applyAlignment="1">
      <alignment horizontal="center"/>
    </xf>
    <xf numFmtId="0" fontId="4" fillId="0" borderId="8" xfId="0" applyFont="1" applyBorder="1"/>
    <xf numFmtId="0" fontId="4" fillId="0" borderId="1" xfId="0" applyFont="1" applyBorder="1" applyAlignment="1"/>
    <xf numFmtId="0" fontId="4" fillId="0" borderId="8" xfId="0" applyFont="1" applyFill="1" applyBorder="1"/>
    <xf numFmtId="0" fontId="8" fillId="0" borderId="1" xfId="0" applyFont="1" applyFill="1" applyBorder="1"/>
    <xf numFmtId="0" fontId="4" fillId="2" borderId="1" xfId="0" applyFont="1" applyFill="1" applyBorder="1" applyAlignment="1">
      <alignment horizontal="center"/>
    </xf>
    <xf numFmtId="0" fontId="9" fillId="0" borderId="1" xfId="0" applyFont="1" applyBorder="1"/>
    <xf numFmtId="0" fontId="9" fillId="0" borderId="1" xfId="0" applyFont="1" applyFill="1" applyBorder="1"/>
    <xf numFmtId="0" fontId="9" fillId="0" borderId="0" xfId="0" applyFont="1"/>
    <xf numFmtId="0" fontId="9" fillId="0" borderId="0" xfId="0" applyFont="1" applyFill="1"/>
    <xf numFmtId="0" fontId="4" fillId="0" borderId="0" xfId="0" applyFont="1"/>
    <xf numFmtId="0" fontId="4" fillId="0" borderId="1" xfId="0" applyNumberFormat="1" applyFont="1" applyFill="1" applyBorder="1" applyAlignment="1">
      <alignment horizontal="center"/>
    </xf>
    <xf numFmtId="43" fontId="4" fillId="0" borderId="1" xfId="0" applyNumberFormat="1" applyFont="1" applyBorder="1" applyAlignment="1"/>
    <xf numFmtId="0" fontId="4" fillId="0" borderId="0" xfId="0" applyNumberFormat="1" applyFont="1" applyFill="1" applyBorder="1"/>
    <xf numFmtId="0" fontId="4" fillId="0" borderId="0" xfId="0" applyFont="1" applyFill="1" applyBorder="1"/>
    <xf numFmtId="0" fontId="4" fillId="0" borderId="0" xfId="0" applyFont="1" applyAlignment="1"/>
    <xf numFmtId="0" fontId="4" fillId="6" borderId="1" xfId="0" applyFont="1" applyFill="1" applyBorder="1" applyAlignment="1">
      <alignment horizontal="center"/>
    </xf>
    <xf numFmtId="16" fontId="10" fillId="0" borderId="7" xfId="0" applyNumberFormat="1" applyFont="1" applyFill="1" applyBorder="1" applyAlignment="1">
      <alignment horizontal="center" vertical="center" wrapText="1"/>
    </xf>
    <xf numFmtId="16" fontId="3" fillId="2" borderId="7" xfId="0" applyNumberFormat="1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left"/>
    </xf>
    <xf numFmtId="0" fontId="4" fillId="0" borderId="1" xfId="0" applyNumberFormat="1" applyFont="1" applyFill="1" applyBorder="1" applyAlignment="1"/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6"/>
  <sheetViews>
    <sheetView tabSelected="1" topLeftCell="B1" zoomScale="115" zoomScaleNormal="115" workbookViewId="0">
      <selection activeCell="P79" sqref="P79"/>
    </sheetView>
  </sheetViews>
  <sheetFormatPr defaultColWidth="9" defaultRowHeight="15"/>
  <cols>
    <col min="1" max="1" width="8.140625" hidden="1" customWidth="1"/>
    <col min="2" max="2" width="8.140625" customWidth="1"/>
    <col min="3" max="3" width="6" customWidth="1"/>
    <col min="4" max="4" width="20.42578125" customWidth="1"/>
    <col min="5" max="5" width="6.140625" hidden="1" customWidth="1"/>
    <col min="6" max="7" width="6.140625" style="3" hidden="1" customWidth="1"/>
    <col min="8" max="8" width="6.140625" style="5" hidden="1" customWidth="1"/>
    <col min="9" max="11" width="6.140625" style="3" hidden="1" customWidth="1"/>
    <col min="12" max="12" width="7" customWidth="1"/>
    <col min="13" max="13" width="6.85546875" customWidth="1"/>
    <col min="14" max="14" width="0.140625" customWidth="1"/>
    <col min="15" max="15" width="7.42578125" customWidth="1"/>
    <col min="16" max="16" width="10.140625" bestFit="1" customWidth="1"/>
    <col min="17" max="17" width="14.140625" customWidth="1"/>
    <col min="18" max="18" width="13" customWidth="1"/>
    <col min="19" max="19" width="10.140625" customWidth="1"/>
  </cols>
  <sheetData>
    <row r="1" spans="2:19" ht="4.5" customHeight="1"/>
    <row r="2" spans="2:19" ht="23.25">
      <c r="C2" s="53" t="s">
        <v>0</v>
      </c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</row>
    <row r="3" spans="2:19" ht="9" customHeight="1">
      <c r="C3" s="55" t="s">
        <v>1</v>
      </c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</row>
    <row r="4" spans="2:19" ht="9" customHeight="1">
      <c r="C4" s="51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</row>
    <row r="5" spans="2:19" s="1" customFormat="1" ht="20.100000000000001" customHeight="1">
      <c r="B5"/>
      <c r="C5" s="6">
        <v>1</v>
      </c>
      <c r="D5" s="7" t="s">
        <v>2</v>
      </c>
      <c r="E5" s="8">
        <v>1.3</v>
      </c>
      <c r="F5" s="8">
        <v>1.3</v>
      </c>
      <c r="G5" s="9">
        <v>1.3</v>
      </c>
      <c r="H5" s="8">
        <v>1.3</v>
      </c>
      <c r="I5" s="8">
        <v>1.3</v>
      </c>
      <c r="J5" s="8">
        <v>1.3</v>
      </c>
      <c r="K5" s="8">
        <v>1.3</v>
      </c>
      <c r="L5" s="25">
        <v>7</v>
      </c>
      <c r="M5" s="7">
        <v>21</v>
      </c>
      <c r="N5" s="26">
        <f t="shared" ref="N5:N68" si="0">O5/8*M5</f>
        <v>918.75</v>
      </c>
      <c r="O5" s="27">
        <v>350</v>
      </c>
      <c r="P5" s="27">
        <v>560</v>
      </c>
      <c r="Q5" s="28">
        <f>L5*O5+N5+50</f>
        <v>3418.75</v>
      </c>
      <c r="R5" s="28">
        <f>Q5-P5</f>
        <v>2858.75</v>
      </c>
      <c r="S5" s="34">
        <v>1</v>
      </c>
    </row>
    <row r="6" spans="2:19" s="2" customFormat="1" ht="18.95" customHeight="1">
      <c r="B6"/>
      <c r="C6" s="6">
        <v>2</v>
      </c>
      <c r="D6" s="7" t="s">
        <v>3</v>
      </c>
      <c r="E6" s="8">
        <v>1.4</v>
      </c>
      <c r="F6" s="8">
        <v>1.4</v>
      </c>
      <c r="G6" s="9">
        <v>1.7</v>
      </c>
      <c r="H6" s="8">
        <v>1</v>
      </c>
      <c r="I6" s="8">
        <v>1</v>
      </c>
      <c r="J6" s="8">
        <v>1</v>
      </c>
      <c r="K6" s="8">
        <v>1</v>
      </c>
      <c r="L6" s="25">
        <v>7</v>
      </c>
      <c r="M6" s="7">
        <v>15</v>
      </c>
      <c r="N6" s="26">
        <f t="shared" si="0"/>
        <v>937.5</v>
      </c>
      <c r="O6" s="27">
        <v>500</v>
      </c>
      <c r="P6" s="27">
        <f>500+560</f>
        <v>1060</v>
      </c>
      <c r="Q6" s="28">
        <f>L6*O6+N6</f>
        <v>4437.5</v>
      </c>
      <c r="R6" s="28">
        <f>Q6-P6</f>
        <v>3377.5</v>
      </c>
      <c r="S6" s="34">
        <v>2</v>
      </c>
    </row>
    <row r="7" spans="2:19" ht="12.95" customHeight="1">
      <c r="C7" s="57" t="s">
        <v>4</v>
      </c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</row>
    <row r="8" spans="2:19" ht="27.95" customHeight="1">
      <c r="C8" s="10"/>
      <c r="D8" s="11" t="s">
        <v>5</v>
      </c>
      <c r="E8" s="47" t="s">
        <v>6</v>
      </c>
      <c r="F8" s="47" t="s">
        <v>7</v>
      </c>
      <c r="G8" s="48" t="s">
        <v>8</v>
      </c>
      <c r="H8" s="47" t="s">
        <v>9</v>
      </c>
      <c r="I8" s="47" t="s">
        <v>10</v>
      </c>
      <c r="J8" s="47" t="s">
        <v>11</v>
      </c>
      <c r="K8" s="47" t="s">
        <v>12</v>
      </c>
      <c r="L8" s="11" t="s">
        <v>13</v>
      </c>
      <c r="M8" s="11" t="s">
        <v>14</v>
      </c>
      <c r="N8" s="11" t="s">
        <v>15</v>
      </c>
      <c r="O8" s="11" t="s">
        <v>16</v>
      </c>
      <c r="P8" s="11"/>
      <c r="Q8" s="11"/>
      <c r="R8" s="11"/>
      <c r="S8" s="11" t="s">
        <v>17</v>
      </c>
    </row>
    <row r="9" spans="2:19" s="3" customFormat="1" ht="20.100000000000001" customHeight="1">
      <c r="C9" s="6">
        <v>3</v>
      </c>
      <c r="D9" s="7" t="s">
        <v>18</v>
      </c>
      <c r="E9" s="8">
        <v>1</v>
      </c>
      <c r="F9" s="8">
        <v>1</v>
      </c>
      <c r="G9" s="9"/>
      <c r="H9" s="8">
        <v>1</v>
      </c>
      <c r="I9" s="8">
        <v>1</v>
      </c>
      <c r="J9" s="8">
        <v>1</v>
      </c>
      <c r="K9" s="8">
        <v>1</v>
      </c>
      <c r="L9" s="25">
        <f>SUM(E9:K9)</f>
        <v>6</v>
      </c>
      <c r="M9" s="7"/>
      <c r="N9" s="26">
        <f t="shared" si="0"/>
        <v>0</v>
      </c>
      <c r="O9" s="27">
        <v>350</v>
      </c>
      <c r="P9" s="27"/>
      <c r="Q9" s="28">
        <f>L9*O9+N9</f>
        <v>2100</v>
      </c>
      <c r="R9" s="28">
        <f>Q9-P9</f>
        <v>2100</v>
      </c>
      <c r="S9" s="34">
        <v>3</v>
      </c>
    </row>
    <row r="10" spans="2:19" s="3" customFormat="1" ht="20.100000000000001" customHeight="1">
      <c r="C10" s="6">
        <v>4</v>
      </c>
      <c r="D10" s="7" t="s">
        <v>19</v>
      </c>
      <c r="E10" s="8">
        <v>1.4</v>
      </c>
      <c r="F10" s="8">
        <v>1.4</v>
      </c>
      <c r="G10" s="9"/>
      <c r="H10" s="8">
        <v>1.4</v>
      </c>
      <c r="I10" s="8">
        <v>1</v>
      </c>
      <c r="J10" s="8">
        <v>1</v>
      </c>
      <c r="K10" s="8">
        <v>1</v>
      </c>
      <c r="L10" s="25">
        <v>6</v>
      </c>
      <c r="M10" s="7">
        <v>12</v>
      </c>
      <c r="N10" s="26">
        <f t="shared" si="0"/>
        <v>600</v>
      </c>
      <c r="O10" s="27">
        <v>400</v>
      </c>
      <c r="P10" s="27"/>
      <c r="Q10" s="28">
        <f t="shared" ref="Q10:Q73" si="1">L10*O10+N10</f>
        <v>3000</v>
      </c>
      <c r="R10" s="28">
        <f t="shared" ref="R10:R16" si="2">Q10-P10</f>
        <v>3000</v>
      </c>
      <c r="S10" s="34">
        <v>4</v>
      </c>
    </row>
    <row r="11" spans="2:19" ht="20.100000000000001" customHeight="1">
      <c r="C11" s="6">
        <v>5</v>
      </c>
      <c r="D11" s="7" t="s">
        <v>20</v>
      </c>
      <c r="E11" s="8"/>
      <c r="F11" s="8"/>
      <c r="G11" s="9">
        <v>1.2</v>
      </c>
      <c r="H11" s="8"/>
      <c r="I11" s="8">
        <v>2</v>
      </c>
      <c r="J11" s="8">
        <v>1</v>
      </c>
      <c r="K11" s="8">
        <v>1</v>
      </c>
      <c r="L11" s="25">
        <v>4</v>
      </c>
      <c r="M11" s="7">
        <v>10</v>
      </c>
      <c r="N11" s="26">
        <f t="shared" si="0"/>
        <v>500</v>
      </c>
      <c r="O11" s="27">
        <v>400</v>
      </c>
      <c r="P11" s="27"/>
      <c r="Q11" s="28">
        <f t="shared" si="1"/>
        <v>2100</v>
      </c>
      <c r="R11" s="28">
        <f t="shared" si="2"/>
        <v>2100</v>
      </c>
      <c r="S11" s="34">
        <v>5</v>
      </c>
    </row>
    <row r="12" spans="2:19" s="3" customFormat="1" ht="20.100000000000001" customHeight="1">
      <c r="C12" s="6">
        <v>6</v>
      </c>
      <c r="D12" s="14" t="s">
        <v>21</v>
      </c>
      <c r="E12" s="8">
        <v>1.4</v>
      </c>
      <c r="F12" s="8">
        <v>1.4</v>
      </c>
      <c r="G12" s="9"/>
      <c r="H12" s="8">
        <v>3</v>
      </c>
      <c r="I12" s="8">
        <v>1</v>
      </c>
      <c r="J12" s="8">
        <v>1</v>
      </c>
      <c r="K12" s="8">
        <v>1</v>
      </c>
      <c r="L12" s="25">
        <v>6</v>
      </c>
      <c r="M12" s="7">
        <v>24</v>
      </c>
      <c r="N12" s="26">
        <f t="shared" si="0"/>
        <v>1200</v>
      </c>
      <c r="O12" s="26">
        <v>400</v>
      </c>
      <c r="P12" s="26"/>
      <c r="Q12" s="28">
        <f t="shared" si="1"/>
        <v>3600</v>
      </c>
      <c r="R12" s="28">
        <f t="shared" si="2"/>
        <v>3600</v>
      </c>
      <c r="S12" s="34">
        <v>6</v>
      </c>
    </row>
    <row r="13" spans="2:19" s="3" customFormat="1" ht="20.100000000000001" customHeight="1">
      <c r="C13" s="6">
        <v>7</v>
      </c>
      <c r="D13" s="7" t="s">
        <v>22</v>
      </c>
      <c r="E13" s="8">
        <v>1.4</v>
      </c>
      <c r="F13" s="8">
        <v>1.4</v>
      </c>
      <c r="G13" s="9">
        <v>0.3</v>
      </c>
      <c r="H13" s="8"/>
      <c r="I13" s="8"/>
      <c r="J13" s="8">
        <v>2</v>
      </c>
      <c r="K13" s="8">
        <v>1</v>
      </c>
      <c r="L13" s="25">
        <v>4</v>
      </c>
      <c r="M13" s="7">
        <v>19</v>
      </c>
      <c r="N13" s="26">
        <f t="shared" si="0"/>
        <v>950</v>
      </c>
      <c r="O13" s="26">
        <v>400</v>
      </c>
      <c r="P13" s="26"/>
      <c r="Q13" s="28">
        <f t="shared" si="1"/>
        <v>2550</v>
      </c>
      <c r="R13" s="28">
        <f t="shared" si="2"/>
        <v>2550</v>
      </c>
      <c r="S13" s="34">
        <v>7</v>
      </c>
    </row>
    <row r="14" spans="2:19" ht="20.100000000000001" customHeight="1">
      <c r="C14" s="6">
        <v>8</v>
      </c>
      <c r="D14" s="14" t="s">
        <v>23</v>
      </c>
      <c r="E14" s="8">
        <v>0.4</v>
      </c>
      <c r="F14" s="8">
        <v>1.4</v>
      </c>
      <c r="G14" s="9">
        <v>0.3</v>
      </c>
      <c r="H14" s="8"/>
      <c r="I14" s="8">
        <v>1</v>
      </c>
      <c r="J14" s="8">
        <v>1</v>
      </c>
      <c r="K14" s="8">
        <v>1</v>
      </c>
      <c r="L14" s="25">
        <v>4</v>
      </c>
      <c r="M14" s="7">
        <v>11</v>
      </c>
      <c r="N14" s="26">
        <f t="shared" si="0"/>
        <v>550</v>
      </c>
      <c r="O14" s="27">
        <v>400</v>
      </c>
      <c r="P14" s="27"/>
      <c r="Q14" s="28">
        <f t="shared" si="1"/>
        <v>2150</v>
      </c>
      <c r="R14" s="28">
        <f t="shared" si="2"/>
        <v>2150</v>
      </c>
      <c r="S14" s="34">
        <v>8</v>
      </c>
    </row>
    <row r="15" spans="2:19" ht="20.100000000000001" customHeight="1">
      <c r="C15" s="6">
        <v>9</v>
      </c>
      <c r="D15" s="14" t="s">
        <v>24</v>
      </c>
      <c r="E15" s="8">
        <v>1.4</v>
      </c>
      <c r="F15" s="8">
        <v>1.4</v>
      </c>
      <c r="G15" s="9"/>
      <c r="H15" s="8">
        <v>1</v>
      </c>
      <c r="I15" s="8">
        <v>1</v>
      </c>
      <c r="J15" s="8">
        <v>1</v>
      </c>
      <c r="K15" s="8">
        <v>1</v>
      </c>
      <c r="L15" s="25">
        <v>6</v>
      </c>
      <c r="M15" s="7">
        <v>8</v>
      </c>
      <c r="N15" s="26">
        <f t="shared" si="0"/>
        <v>400</v>
      </c>
      <c r="O15" s="27">
        <v>400</v>
      </c>
      <c r="P15" s="27"/>
      <c r="Q15" s="28">
        <f t="shared" si="1"/>
        <v>2800</v>
      </c>
      <c r="R15" s="28">
        <f t="shared" si="2"/>
        <v>2800</v>
      </c>
      <c r="S15" s="34">
        <v>9</v>
      </c>
    </row>
    <row r="16" spans="2:19" ht="20.100000000000001" customHeight="1">
      <c r="C16" s="6">
        <v>10</v>
      </c>
      <c r="D16" s="14" t="s">
        <v>25</v>
      </c>
      <c r="E16" s="8"/>
      <c r="F16" s="8">
        <v>1</v>
      </c>
      <c r="G16" s="9"/>
      <c r="H16" s="8">
        <v>1</v>
      </c>
      <c r="I16" s="8">
        <v>1</v>
      </c>
      <c r="J16" s="8">
        <v>1</v>
      </c>
      <c r="K16" s="8">
        <v>1</v>
      </c>
      <c r="L16" s="25">
        <f>SUM(E16:K16)</f>
        <v>5</v>
      </c>
      <c r="M16" s="7"/>
      <c r="N16" s="26">
        <f t="shared" si="0"/>
        <v>0</v>
      </c>
      <c r="O16" s="26">
        <v>400</v>
      </c>
      <c r="P16" s="26"/>
      <c r="Q16" s="28">
        <f t="shared" si="1"/>
        <v>2000</v>
      </c>
      <c r="R16" s="28">
        <f t="shared" si="2"/>
        <v>2000</v>
      </c>
      <c r="S16" s="34">
        <v>10</v>
      </c>
    </row>
    <row r="17" spans="3:19" ht="20.100000000000001" customHeight="1">
      <c r="C17" s="6">
        <v>11</v>
      </c>
      <c r="D17" s="14" t="s">
        <v>26</v>
      </c>
      <c r="E17" s="8"/>
      <c r="F17" s="8">
        <v>1</v>
      </c>
      <c r="G17" s="9">
        <v>0.7</v>
      </c>
      <c r="H17" s="8">
        <v>1</v>
      </c>
      <c r="I17" s="8">
        <v>1</v>
      </c>
      <c r="J17" s="8">
        <v>1</v>
      </c>
      <c r="K17" s="8">
        <v>1</v>
      </c>
      <c r="L17" s="25">
        <v>5</v>
      </c>
      <c r="M17" s="7">
        <v>7</v>
      </c>
      <c r="N17" s="26">
        <f t="shared" si="0"/>
        <v>350</v>
      </c>
      <c r="O17" s="26">
        <v>400</v>
      </c>
      <c r="P17" s="26"/>
      <c r="Q17" s="28">
        <f t="shared" si="1"/>
        <v>2350</v>
      </c>
      <c r="R17" s="28">
        <f t="shared" ref="R17:R48" si="3">Q17-P17</f>
        <v>2350</v>
      </c>
      <c r="S17" s="34">
        <v>11</v>
      </c>
    </row>
    <row r="18" spans="3:19" ht="20.100000000000001" customHeight="1">
      <c r="C18" s="6">
        <v>12</v>
      </c>
      <c r="D18" s="14" t="s">
        <v>27</v>
      </c>
      <c r="E18" s="8">
        <v>1.4</v>
      </c>
      <c r="F18" s="8"/>
      <c r="G18" s="9">
        <v>1</v>
      </c>
      <c r="H18" s="8">
        <v>1</v>
      </c>
      <c r="I18" s="8">
        <v>1</v>
      </c>
      <c r="J18" s="8">
        <v>1</v>
      </c>
      <c r="K18" s="8">
        <v>1</v>
      </c>
      <c r="L18" s="25">
        <v>6</v>
      </c>
      <c r="M18" s="7">
        <v>4</v>
      </c>
      <c r="N18" s="26">
        <f t="shared" si="0"/>
        <v>200</v>
      </c>
      <c r="O18" s="26">
        <v>400</v>
      </c>
      <c r="P18" s="26"/>
      <c r="Q18" s="28">
        <f t="shared" si="1"/>
        <v>2600</v>
      </c>
      <c r="R18" s="28">
        <f t="shared" si="3"/>
        <v>2600</v>
      </c>
      <c r="S18" s="34">
        <v>12</v>
      </c>
    </row>
    <row r="19" spans="3:19" ht="20.100000000000001" customHeight="1">
      <c r="C19" s="6">
        <v>13</v>
      </c>
      <c r="D19" s="15" t="s">
        <v>28</v>
      </c>
      <c r="E19" s="8"/>
      <c r="F19" s="8">
        <v>2</v>
      </c>
      <c r="G19" s="9"/>
      <c r="H19" s="8">
        <v>1</v>
      </c>
      <c r="I19" s="8">
        <v>1</v>
      </c>
      <c r="J19" s="8">
        <v>1</v>
      </c>
      <c r="K19" s="8">
        <v>1</v>
      </c>
      <c r="L19" s="25">
        <v>5</v>
      </c>
      <c r="M19" s="7">
        <v>8</v>
      </c>
      <c r="N19" s="26">
        <f t="shared" si="0"/>
        <v>400</v>
      </c>
      <c r="O19" s="27">
        <v>400</v>
      </c>
      <c r="P19" s="27"/>
      <c r="Q19" s="28">
        <f t="shared" si="1"/>
        <v>2400</v>
      </c>
      <c r="R19" s="28">
        <f t="shared" si="3"/>
        <v>2400</v>
      </c>
      <c r="S19" s="34">
        <v>13</v>
      </c>
    </row>
    <row r="20" spans="3:19" ht="20.100000000000001" customHeight="1">
      <c r="C20" s="6">
        <v>14</v>
      </c>
      <c r="D20" s="14" t="s">
        <v>29</v>
      </c>
      <c r="E20" s="8">
        <v>1.4</v>
      </c>
      <c r="F20" s="8">
        <v>1.4</v>
      </c>
      <c r="G20" s="9">
        <v>1.4</v>
      </c>
      <c r="H20" s="8">
        <v>2</v>
      </c>
      <c r="I20" s="8">
        <v>1</v>
      </c>
      <c r="J20" s="8">
        <v>1</v>
      </c>
      <c r="K20" s="8">
        <v>1</v>
      </c>
      <c r="L20" s="25">
        <v>7</v>
      </c>
      <c r="M20" s="7">
        <v>20</v>
      </c>
      <c r="N20" s="26">
        <f t="shared" si="0"/>
        <v>1000</v>
      </c>
      <c r="O20" s="26">
        <v>400</v>
      </c>
      <c r="P20" s="26"/>
      <c r="Q20" s="28">
        <f t="shared" si="1"/>
        <v>3800</v>
      </c>
      <c r="R20" s="28">
        <f t="shared" si="3"/>
        <v>3800</v>
      </c>
      <c r="S20" s="34">
        <v>14</v>
      </c>
    </row>
    <row r="21" spans="3:19" ht="20.100000000000001" customHeight="1">
      <c r="C21" s="6">
        <v>15</v>
      </c>
      <c r="D21" s="7" t="s">
        <v>30</v>
      </c>
      <c r="E21" s="8">
        <v>1</v>
      </c>
      <c r="F21" s="8">
        <v>1</v>
      </c>
      <c r="G21" s="9">
        <v>1</v>
      </c>
      <c r="H21" s="8">
        <v>1</v>
      </c>
      <c r="I21" s="8">
        <v>1</v>
      </c>
      <c r="J21" s="8">
        <v>1</v>
      </c>
      <c r="K21" s="8">
        <v>1</v>
      </c>
      <c r="L21" s="25">
        <f>SUM(E21:K21)</f>
        <v>7</v>
      </c>
      <c r="M21" s="7"/>
      <c r="N21" s="26">
        <f t="shared" si="0"/>
        <v>0</v>
      </c>
      <c r="O21" s="27">
        <v>400</v>
      </c>
      <c r="P21" s="27"/>
      <c r="Q21" s="28">
        <f t="shared" si="1"/>
        <v>2800</v>
      </c>
      <c r="R21" s="28">
        <f t="shared" si="3"/>
        <v>2800</v>
      </c>
      <c r="S21" s="34">
        <v>15</v>
      </c>
    </row>
    <row r="22" spans="3:19" ht="20.100000000000001" customHeight="1">
      <c r="C22" s="6">
        <v>16</v>
      </c>
      <c r="D22" s="7" t="s">
        <v>31</v>
      </c>
      <c r="E22" s="8">
        <v>2</v>
      </c>
      <c r="F22" s="8">
        <v>1</v>
      </c>
      <c r="G22" s="9">
        <v>1</v>
      </c>
      <c r="H22" s="8">
        <v>1</v>
      </c>
      <c r="I22" s="8"/>
      <c r="J22" s="8">
        <v>1</v>
      </c>
      <c r="K22" s="8">
        <v>1</v>
      </c>
      <c r="L22" s="25">
        <v>6</v>
      </c>
      <c r="M22" s="7">
        <v>8</v>
      </c>
      <c r="N22" s="26">
        <f t="shared" si="0"/>
        <v>400</v>
      </c>
      <c r="O22" s="26">
        <v>400</v>
      </c>
      <c r="P22" s="26"/>
      <c r="Q22" s="28">
        <f t="shared" si="1"/>
        <v>2800</v>
      </c>
      <c r="R22" s="28">
        <f t="shared" si="3"/>
        <v>2800</v>
      </c>
      <c r="S22" s="34">
        <v>16</v>
      </c>
    </row>
    <row r="23" spans="3:19" ht="20.100000000000001" customHeight="1">
      <c r="C23" s="6">
        <v>17</v>
      </c>
      <c r="D23" s="7" t="s">
        <v>32</v>
      </c>
      <c r="E23" s="8">
        <v>1.4</v>
      </c>
      <c r="F23" s="8">
        <v>1.4</v>
      </c>
      <c r="G23" s="9">
        <v>1.7</v>
      </c>
      <c r="H23" s="8">
        <v>1</v>
      </c>
      <c r="I23" s="8">
        <v>1</v>
      </c>
      <c r="J23" s="8">
        <v>1</v>
      </c>
      <c r="K23" s="8">
        <v>1</v>
      </c>
      <c r="L23" s="25">
        <v>7</v>
      </c>
      <c r="M23" s="7">
        <v>15</v>
      </c>
      <c r="N23" s="26">
        <f t="shared" si="0"/>
        <v>750</v>
      </c>
      <c r="O23" s="26">
        <v>400</v>
      </c>
      <c r="P23" s="26"/>
      <c r="Q23" s="28">
        <f t="shared" si="1"/>
        <v>3550</v>
      </c>
      <c r="R23" s="28">
        <f t="shared" si="3"/>
        <v>3550</v>
      </c>
      <c r="S23" s="34">
        <v>17</v>
      </c>
    </row>
    <row r="24" spans="3:19" ht="20.100000000000001" customHeight="1">
      <c r="C24" s="6">
        <v>18</v>
      </c>
      <c r="D24" s="7" t="s">
        <v>33</v>
      </c>
      <c r="E24" s="8">
        <v>1</v>
      </c>
      <c r="F24" s="8"/>
      <c r="G24" s="9"/>
      <c r="H24" s="8">
        <v>1</v>
      </c>
      <c r="I24" s="8">
        <v>1</v>
      </c>
      <c r="J24" s="8">
        <v>1</v>
      </c>
      <c r="K24" s="8">
        <v>1</v>
      </c>
      <c r="L24" s="25">
        <f>SUM(E24:K24)</f>
        <v>5</v>
      </c>
      <c r="M24" s="7"/>
      <c r="N24" s="26">
        <f t="shared" si="0"/>
        <v>0</v>
      </c>
      <c r="O24" s="26">
        <v>400</v>
      </c>
      <c r="P24" s="26"/>
      <c r="Q24" s="28">
        <f t="shared" si="1"/>
        <v>2000</v>
      </c>
      <c r="R24" s="28">
        <f t="shared" si="3"/>
        <v>2000</v>
      </c>
      <c r="S24" s="34">
        <v>18</v>
      </c>
    </row>
    <row r="25" spans="3:19" ht="20.100000000000001" customHeight="1">
      <c r="C25" s="6">
        <v>19</v>
      </c>
      <c r="D25" s="7" t="s">
        <v>34</v>
      </c>
      <c r="E25" s="8">
        <v>1</v>
      </c>
      <c r="F25" s="8">
        <v>1</v>
      </c>
      <c r="G25" s="9">
        <v>1</v>
      </c>
      <c r="H25" s="8">
        <v>1</v>
      </c>
      <c r="I25" s="8">
        <v>1</v>
      </c>
      <c r="J25" s="8">
        <v>1</v>
      </c>
      <c r="K25" s="8">
        <v>1</v>
      </c>
      <c r="L25" s="25">
        <f>SUM(E25:K25)</f>
        <v>7</v>
      </c>
      <c r="M25" s="7"/>
      <c r="N25" s="26">
        <f t="shared" si="0"/>
        <v>0</v>
      </c>
      <c r="O25" s="26">
        <v>400</v>
      </c>
      <c r="P25" s="29"/>
      <c r="Q25" s="28">
        <f t="shared" si="1"/>
        <v>2800</v>
      </c>
      <c r="R25" s="28">
        <f t="shared" si="3"/>
        <v>2800</v>
      </c>
      <c r="S25" s="34">
        <v>19</v>
      </c>
    </row>
    <row r="26" spans="3:19" ht="20.100000000000001" customHeight="1">
      <c r="C26" s="6">
        <v>20</v>
      </c>
      <c r="D26" s="7" t="s">
        <v>35</v>
      </c>
      <c r="E26" s="8">
        <v>1.4</v>
      </c>
      <c r="F26" s="8"/>
      <c r="G26" s="9">
        <v>1</v>
      </c>
      <c r="H26" s="8">
        <v>2</v>
      </c>
      <c r="I26" s="8">
        <v>1</v>
      </c>
      <c r="J26" s="8"/>
      <c r="K26" s="8">
        <v>1</v>
      </c>
      <c r="L26" s="25">
        <v>5</v>
      </c>
      <c r="M26" s="7">
        <v>12</v>
      </c>
      <c r="N26" s="26">
        <f t="shared" si="0"/>
        <v>600</v>
      </c>
      <c r="O26" s="26">
        <v>400</v>
      </c>
      <c r="P26" s="29"/>
      <c r="Q26" s="28">
        <f t="shared" si="1"/>
        <v>2600</v>
      </c>
      <c r="R26" s="28">
        <f t="shared" si="3"/>
        <v>2600</v>
      </c>
      <c r="S26" s="34">
        <v>20</v>
      </c>
    </row>
    <row r="27" spans="3:19" ht="20.100000000000001" customHeight="1">
      <c r="C27" s="6">
        <v>21</v>
      </c>
      <c r="D27" s="15" t="s">
        <v>36</v>
      </c>
      <c r="E27" s="8">
        <v>1.4</v>
      </c>
      <c r="F27" s="8">
        <v>1.4</v>
      </c>
      <c r="G27" s="9">
        <v>1.4</v>
      </c>
      <c r="H27" s="8">
        <v>1.4</v>
      </c>
      <c r="I27" s="8">
        <v>1.4</v>
      </c>
      <c r="J27" s="8">
        <v>0.6</v>
      </c>
      <c r="K27" s="8"/>
      <c r="L27" s="25">
        <v>5</v>
      </c>
      <c r="M27" s="7">
        <v>26</v>
      </c>
      <c r="N27" s="26">
        <f t="shared" si="0"/>
        <v>1625</v>
      </c>
      <c r="O27" s="26">
        <v>500</v>
      </c>
      <c r="P27" s="29"/>
      <c r="Q27" s="28">
        <f t="shared" si="1"/>
        <v>4125</v>
      </c>
      <c r="R27" s="28">
        <f t="shared" si="3"/>
        <v>4125</v>
      </c>
      <c r="S27" s="34">
        <v>21</v>
      </c>
    </row>
    <row r="28" spans="3:19" ht="20.100000000000001" customHeight="1">
      <c r="C28" s="6">
        <v>22</v>
      </c>
      <c r="D28" s="7" t="s">
        <v>37</v>
      </c>
      <c r="E28" s="8">
        <v>2</v>
      </c>
      <c r="F28" s="8">
        <v>2</v>
      </c>
      <c r="G28" s="9">
        <v>1</v>
      </c>
      <c r="H28" s="8">
        <v>1</v>
      </c>
      <c r="I28" s="8">
        <v>2</v>
      </c>
      <c r="J28" s="8">
        <v>1</v>
      </c>
      <c r="K28" s="8">
        <v>2</v>
      </c>
      <c r="L28" s="25">
        <v>7</v>
      </c>
      <c r="M28" s="7">
        <v>32</v>
      </c>
      <c r="N28" s="26">
        <f t="shared" si="0"/>
        <v>1600</v>
      </c>
      <c r="O28" s="26">
        <v>400</v>
      </c>
      <c r="P28" s="29"/>
      <c r="Q28" s="28">
        <f t="shared" si="1"/>
        <v>4400</v>
      </c>
      <c r="R28" s="28">
        <f t="shared" si="3"/>
        <v>4400</v>
      </c>
      <c r="S28" s="34">
        <v>22</v>
      </c>
    </row>
    <row r="29" spans="3:19" ht="20.100000000000001" customHeight="1">
      <c r="C29" s="6">
        <v>23</v>
      </c>
      <c r="D29" s="7" t="s">
        <v>38</v>
      </c>
      <c r="E29" s="8">
        <v>1</v>
      </c>
      <c r="F29" s="8">
        <v>1</v>
      </c>
      <c r="G29" s="9"/>
      <c r="H29" s="8">
        <v>1</v>
      </c>
      <c r="I29" s="8">
        <v>1</v>
      </c>
      <c r="J29" s="8">
        <v>1</v>
      </c>
      <c r="K29" s="8">
        <v>1</v>
      </c>
      <c r="L29" s="25">
        <f>SUM(E29:K29)</f>
        <v>6</v>
      </c>
      <c r="M29" s="7"/>
      <c r="N29" s="26">
        <f t="shared" si="0"/>
        <v>0</v>
      </c>
      <c r="O29" s="26">
        <v>400</v>
      </c>
      <c r="P29" s="29"/>
      <c r="Q29" s="28">
        <f t="shared" si="1"/>
        <v>2400</v>
      </c>
      <c r="R29" s="28">
        <f t="shared" si="3"/>
        <v>2400</v>
      </c>
      <c r="S29" s="34">
        <v>23</v>
      </c>
    </row>
    <row r="30" spans="3:19" ht="20.100000000000001" customHeight="1">
      <c r="C30" s="6">
        <v>24</v>
      </c>
      <c r="D30" s="14" t="s">
        <v>39</v>
      </c>
      <c r="E30" s="8">
        <v>1</v>
      </c>
      <c r="F30" s="8">
        <v>1</v>
      </c>
      <c r="G30" s="9"/>
      <c r="H30" s="8"/>
      <c r="I30" s="8"/>
      <c r="J30" s="8">
        <v>1</v>
      </c>
      <c r="K30" s="8">
        <v>1</v>
      </c>
      <c r="L30" s="25">
        <f>SUM(E30:K30)</f>
        <v>4</v>
      </c>
      <c r="M30" s="7"/>
      <c r="N30" s="26">
        <f t="shared" si="0"/>
        <v>0</v>
      </c>
      <c r="O30" s="26">
        <v>400</v>
      </c>
      <c r="P30" s="29"/>
      <c r="Q30" s="28">
        <f t="shared" si="1"/>
        <v>1600</v>
      </c>
      <c r="R30" s="28">
        <f t="shared" si="3"/>
        <v>1600</v>
      </c>
      <c r="S30" s="34">
        <v>24</v>
      </c>
    </row>
    <row r="31" spans="3:19" ht="20.100000000000001" customHeight="1">
      <c r="C31" s="6">
        <v>25</v>
      </c>
      <c r="D31" s="7" t="s">
        <v>40</v>
      </c>
      <c r="E31" s="8">
        <v>1</v>
      </c>
      <c r="F31" s="8">
        <v>1</v>
      </c>
      <c r="G31" s="9">
        <v>1</v>
      </c>
      <c r="H31" s="8">
        <v>1</v>
      </c>
      <c r="I31" s="8">
        <v>1</v>
      </c>
      <c r="J31" s="8">
        <v>1</v>
      </c>
      <c r="K31" s="8">
        <v>1</v>
      </c>
      <c r="L31" s="25">
        <f>SUM(E31:K31)</f>
        <v>7</v>
      </c>
      <c r="M31" s="7"/>
      <c r="N31" s="26">
        <f t="shared" si="0"/>
        <v>0</v>
      </c>
      <c r="O31" s="26">
        <v>400</v>
      </c>
      <c r="P31" s="29"/>
      <c r="Q31" s="28">
        <f t="shared" si="1"/>
        <v>2800</v>
      </c>
      <c r="R31" s="28">
        <f t="shared" si="3"/>
        <v>2800</v>
      </c>
      <c r="S31" s="34">
        <v>25</v>
      </c>
    </row>
    <row r="32" spans="3:19" ht="20.100000000000001" customHeight="1">
      <c r="C32" s="6">
        <v>26</v>
      </c>
      <c r="D32" s="7" t="s">
        <v>41</v>
      </c>
      <c r="E32" s="16">
        <v>1</v>
      </c>
      <c r="F32" s="16">
        <v>1</v>
      </c>
      <c r="G32" s="17">
        <v>1</v>
      </c>
      <c r="H32" s="16">
        <v>1</v>
      </c>
      <c r="I32" s="16">
        <v>1</v>
      </c>
      <c r="J32" s="16">
        <v>1</v>
      </c>
      <c r="K32" s="16">
        <v>1</v>
      </c>
      <c r="L32" s="25">
        <f>SUM(E32:K32)</f>
        <v>7</v>
      </c>
      <c r="M32" s="7"/>
      <c r="N32" s="26">
        <f t="shared" si="0"/>
        <v>0</v>
      </c>
      <c r="O32" s="30">
        <v>400</v>
      </c>
      <c r="P32" s="31"/>
      <c r="Q32" s="28">
        <f t="shared" si="1"/>
        <v>2800</v>
      </c>
      <c r="R32" s="28">
        <f t="shared" si="3"/>
        <v>2800</v>
      </c>
      <c r="S32" s="34">
        <v>26</v>
      </c>
    </row>
    <row r="33" spans="3:19" s="4" customFormat="1" ht="18.95" customHeight="1">
      <c r="C33" s="6">
        <v>27</v>
      </c>
      <c r="D33" s="49" t="s">
        <v>42</v>
      </c>
      <c r="E33" s="19">
        <v>1.4</v>
      </c>
      <c r="F33" s="20">
        <v>1.4</v>
      </c>
      <c r="G33" s="21">
        <v>1.4</v>
      </c>
      <c r="H33" s="20">
        <v>1</v>
      </c>
      <c r="I33" s="20">
        <v>0.2</v>
      </c>
      <c r="J33" s="20">
        <v>1</v>
      </c>
      <c r="K33" s="20">
        <v>1</v>
      </c>
      <c r="L33" s="25">
        <v>6</v>
      </c>
      <c r="M33" s="7">
        <v>14</v>
      </c>
      <c r="N33" s="26">
        <f t="shared" si="0"/>
        <v>700</v>
      </c>
      <c r="O33" s="30">
        <v>400</v>
      </c>
      <c r="P33" s="32"/>
      <c r="Q33" s="28">
        <f t="shared" si="1"/>
        <v>3100</v>
      </c>
      <c r="R33" s="28">
        <f t="shared" si="3"/>
        <v>3100</v>
      </c>
      <c r="S33" s="34">
        <v>27</v>
      </c>
    </row>
    <row r="34" spans="3:19" s="4" customFormat="1" ht="18.95" customHeight="1">
      <c r="C34" s="6">
        <v>28</v>
      </c>
      <c r="D34" s="15" t="s">
        <v>43</v>
      </c>
      <c r="E34" s="22"/>
      <c r="F34" s="23">
        <v>1.4</v>
      </c>
      <c r="G34" s="24">
        <v>1.4</v>
      </c>
      <c r="H34" s="23">
        <v>1</v>
      </c>
      <c r="I34" s="23">
        <v>1</v>
      </c>
      <c r="J34" s="23">
        <v>1</v>
      </c>
      <c r="K34" s="23">
        <v>1</v>
      </c>
      <c r="L34" s="25">
        <v>6</v>
      </c>
      <c r="M34" s="7">
        <v>8</v>
      </c>
      <c r="N34" s="26">
        <f t="shared" si="0"/>
        <v>400</v>
      </c>
      <c r="O34" s="30">
        <v>400</v>
      </c>
      <c r="P34" s="32"/>
      <c r="Q34" s="28">
        <f t="shared" si="1"/>
        <v>2800</v>
      </c>
      <c r="R34" s="28">
        <f t="shared" si="3"/>
        <v>2800</v>
      </c>
      <c r="S34" s="34">
        <v>28</v>
      </c>
    </row>
    <row r="35" spans="3:19" s="4" customFormat="1" ht="18.95" customHeight="1">
      <c r="C35" s="6">
        <v>29</v>
      </c>
      <c r="D35" s="14" t="s">
        <v>44</v>
      </c>
      <c r="E35" s="22"/>
      <c r="F35" s="23"/>
      <c r="G35" s="24"/>
      <c r="H35" s="23"/>
      <c r="I35" s="23"/>
      <c r="J35" s="23"/>
      <c r="K35" s="23"/>
      <c r="L35" s="25">
        <f>SUM(E35:K35)</f>
        <v>0</v>
      </c>
      <c r="M35" s="7"/>
      <c r="N35" s="26">
        <f t="shared" si="0"/>
        <v>0</v>
      </c>
      <c r="O35" s="30">
        <v>400</v>
      </c>
      <c r="P35" s="32"/>
      <c r="Q35" s="28">
        <f t="shared" si="1"/>
        <v>0</v>
      </c>
      <c r="R35" s="28">
        <f t="shared" si="3"/>
        <v>0</v>
      </c>
      <c r="S35" s="34">
        <v>29</v>
      </c>
    </row>
    <row r="36" spans="3:19" s="4" customFormat="1" ht="18.95" customHeight="1">
      <c r="C36" s="6">
        <v>30</v>
      </c>
      <c r="D36" s="7" t="s">
        <v>45</v>
      </c>
      <c r="E36" s="22">
        <v>0.4</v>
      </c>
      <c r="F36" s="23">
        <v>1.4</v>
      </c>
      <c r="G36" s="24">
        <v>0.3</v>
      </c>
      <c r="H36" s="23"/>
      <c r="I36" s="23">
        <v>1</v>
      </c>
      <c r="J36" s="23">
        <v>1</v>
      </c>
      <c r="K36" s="23">
        <v>1</v>
      </c>
      <c r="L36" s="25">
        <v>4</v>
      </c>
      <c r="M36" s="7">
        <v>11</v>
      </c>
      <c r="N36" s="26">
        <f t="shared" si="0"/>
        <v>550</v>
      </c>
      <c r="O36" s="30">
        <v>400</v>
      </c>
      <c r="P36" s="32"/>
      <c r="Q36" s="28">
        <f t="shared" si="1"/>
        <v>2150</v>
      </c>
      <c r="R36" s="28">
        <f t="shared" si="3"/>
        <v>2150</v>
      </c>
      <c r="S36" s="34">
        <v>30</v>
      </c>
    </row>
    <row r="37" spans="3:19" s="4" customFormat="1" ht="18.95" customHeight="1">
      <c r="C37" s="6">
        <v>31</v>
      </c>
      <c r="D37" s="14" t="s">
        <v>46</v>
      </c>
      <c r="E37" s="22">
        <v>1.4</v>
      </c>
      <c r="F37" s="23">
        <v>1.4</v>
      </c>
      <c r="G37" s="24">
        <v>0.3</v>
      </c>
      <c r="H37" s="23">
        <v>1</v>
      </c>
      <c r="I37" s="23">
        <v>1</v>
      </c>
      <c r="J37" s="23">
        <v>1</v>
      </c>
      <c r="K37" s="23"/>
      <c r="L37" s="25">
        <v>5</v>
      </c>
      <c r="M37" s="7">
        <v>11</v>
      </c>
      <c r="N37" s="26">
        <f t="shared" si="0"/>
        <v>550</v>
      </c>
      <c r="O37" s="30">
        <v>400</v>
      </c>
      <c r="P37" s="32"/>
      <c r="Q37" s="28">
        <f t="shared" si="1"/>
        <v>2550</v>
      </c>
      <c r="R37" s="28">
        <f t="shared" si="3"/>
        <v>2550</v>
      </c>
      <c r="S37" s="34">
        <v>31</v>
      </c>
    </row>
    <row r="38" spans="3:19" s="4" customFormat="1" ht="18.95" customHeight="1">
      <c r="C38" s="6">
        <v>32</v>
      </c>
      <c r="D38" s="7" t="s">
        <v>47</v>
      </c>
      <c r="E38" s="22">
        <v>1.4</v>
      </c>
      <c r="F38" s="23"/>
      <c r="G38" s="24"/>
      <c r="H38" s="23">
        <v>1</v>
      </c>
      <c r="I38" s="23">
        <v>1</v>
      </c>
      <c r="J38" s="23">
        <v>1</v>
      </c>
      <c r="K38" s="23">
        <v>1</v>
      </c>
      <c r="L38" s="25">
        <v>5</v>
      </c>
      <c r="M38" s="7">
        <v>4</v>
      </c>
      <c r="N38" s="26">
        <f t="shared" si="0"/>
        <v>200</v>
      </c>
      <c r="O38" s="30">
        <v>400</v>
      </c>
      <c r="P38" s="32"/>
      <c r="Q38" s="28">
        <f t="shared" si="1"/>
        <v>2200</v>
      </c>
      <c r="R38" s="28">
        <f t="shared" si="3"/>
        <v>2200</v>
      </c>
      <c r="S38" s="34">
        <v>32</v>
      </c>
    </row>
    <row r="39" spans="3:19" s="4" customFormat="1" ht="18.95" customHeight="1">
      <c r="C39" s="6">
        <v>33</v>
      </c>
      <c r="D39" s="14" t="s">
        <v>48</v>
      </c>
      <c r="E39" s="22"/>
      <c r="F39" s="23">
        <v>1.4</v>
      </c>
      <c r="G39" s="24"/>
      <c r="H39" s="23">
        <v>1</v>
      </c>
      <c r="I39" s="23">
        <v>1</v>
      </c>
      <c r="J39" s="23">
        <v>1</v>
      </c>
      <c r="K39" s="23">
        <v>1</v>
      </c>
      <c r="L39" s="25">
        <v>5</v>
      </c>
      <c r="M39" s="7">
        <v>4</v>
      </c>
      <c r="N39" s="26">
        <f t="shared" si="0"/>
        <v>200</v>
      </c>
      <c r="O39" s="30">
        <v>400</v>
      </c>
      <c r="P39" s="32"/>
      <c r="Q39" s="28">
        <f t="shared" si="1"/>
        <v>2200</v>
      </c>
      <c r="R39" s="28">
        <f t="shared" si="3"/>
        <v>2200</v>
      </c>
      <c r="S39" s="34">
        <v>33</v>
      </c>
    </row>
    <row r="40" spans="3:19" s="4" customFormat="1" ht="18.95" customHeight="1">
      <c r="C40" s="6">
        <v>34</v>
      </c>
      <c r="D40" s="14" t="s">
        <v>49</v>
      </c>
      <c r="E40" s="22">
        <v>1.4</v>
      </c>
      <c r="F40" s="23">
        <v>1.4</v>
      </c>
      <c r="G40" s="24">
        <v>1.4</v>
      </c>
      <c r="H40" s="23">
        <v>2</v>
      </c>
      <c r="I40" s="23">
        <v>1</v>
      </c>
      <c r="J40" s="23">
        <v>1</v>
      </c>
      <c r="K40" s="23"/>
      <c r="L40" s="25">
        <v>6</v>
      </c>
      <c r="M40" s="7">
        <v>20</v>
      </c>
      <c r="N40" s="26">
        <f t="shared" si="0"/>
        <v>1000</v>
      </c>
      <c r="O40" s="30">
        <v>400</v>
      </c>
      <c r="P40" s="32"/>
      <c r="Q40" s="28">
        <f t="shared" si="1"/>
        <v>3400</v>
      </c>
      <c r="R40" s="28">
        <f t="shared" si="3"/>
        <v>3400</v>
      </c>
      <c r="S40" s="34">
        <v>34</v>
      </c>
    </row>
    <row r="41" spans="3:19" s="4" customFormat="1" ht="18.95" customHeight="1">
      <c r="C41" s="6">
        <v>35</v>
      </c>
      <c r="D41" s="7" t="s">
        <v>50</v>
      </c>
      <c r="E41" s="22"/>
      <c r="F41" s="23">
        <v>1.4</v>
      </c>
      <c r="G41" s="24">
        <v>2</v>
      </c>
      <c r="H41" s="23">
        <v>3</v>
      </c>
      <c r="I41" s="23">
        <v>1</v>
      </c>
      <c r="J41" s="23">
        <v>1</v>
      </c>
      <c r="K41" s="23">
        <v>1</v>
      </c>
      <c r="L41" s="25">
        <v>6</v>
      </c>
      <c r="M41" s="7">
        <v>28</v>
      </c>
      <c r="N41" s="26">
        <f t="shared" si="0"/>
        <v>1400</v>
      </c>
      <c r="O41" s="30">
        <v>400</v>
      </c>
      <c r="P41" s="32"/>
      <c r="Q41" s="28">
        <f t="shared" si="1"/>
        <v>3800</v>
      </c>
      <c r="R41" s="28">
        <f t="shared" si="3"/>
        <v>3800</v>
      </c>
      <c r="S41" s="34">
        <v>35</v>
      </c>
    </row>
    <row r="42" spans="3:19" s="4" customFormat="1" ht="18.95" customHeight="1">
      <c r="C42" s="6">
        <v>36</v>
      </c>
      <c r="D42" s="14" t="s">
        <v>51</v>
      </c>
      <c r="E42" s="22">
        <v>1</v>
      </c>
      <c r="F42" s="23">
        <v>1</v>
      </c>
      <c r="G42" s="24"/>
      <c r="H42" s="23">
        <v>1</v>
      </c>
      <c r="I42" s="23">
        <v>1</v>
      </c>
      <c r="J42" s="23">
        <v>2</v>
      </c>
      <c r="K42" s="23"/>
      <c r="L42" s="25">
        <v>5</v>
      </c>
      <c r="M42" s="7">
        <v>8</v>
      </c>
      <c r="N42" s="26">
        <f t="shared" si="0"/>
        <v>350</v>
      </c>
      <c r="O42" s="30">
        <v>350</v>
      </c>
      <c r="P42" s="32"/>
      <c r="Q42" s="28">
        <f t="shared" si="1"/>
        <v>2100</v>
      </c>
      <c r="R42" s="28">
        <f t="shared" si="3"/>
        <v>2100</v>
      </c>
      <c r="S42" s="34">
        <v>36</v>
      </c>
    </row>
    <row r="43" spans="3:19" s="4" customFormat="1" ht="18.95" customHeight="1">
      <c r="C43" s="6">
        <v>37</v>
      </c>
      <c r="D43" s="14" t="s">
        <v>52</v>
      </c>
      <c r="E43" s="22">
        <v>1</v>
      </c>
      <c r="F43" s="23">
        <v>1</v>
      </c>
      <c r="G43" s="24"/>
      <c r="H43" s="23">
        <v>1</v>
      </c>
      <c r="I43" s="23">
        <v>1</v>
      </c>
      <c r="J43" s="23">
        <v>1</v>
      </c>
      <c r="K43" s="23">
        <v>1</v>
      </c>
      <c r="L43" s="25">
        <f>SUM(E43:K43)</f>
        <v>6</v>
      </c>
      <c r="M43" s="7"/>
      <c r="N43" s="26">
        <f t="shared" si="0"/>
        <v>0</v>
      </c>
      <c r="O43" s="30">
        <v>400</v>
      </c>
      <c r="P43" s="32"/>
      <c r="Q43" s="28">
        <f t="shared" si="1"/>
        <v>2400</v>
      </c>
      <c r="R43" s="28">
        <f t="shared" si="3"/>
        <v>2400</v>
      </c>
      <c r="S43" s="34">
        <v>37</v>
      </c>
    </row>
    <row r="44" spans="3:19" s="4" customFormat="1" ht="18.95" customHeight="1">
      <c r="C44" s="6">
        <v>38</v>
      </c>
      <c r="D44" s="15" t="s">
        <v>53</v>
      </c>
      <c r="E44" s="22">
        <v>1.3</v>
      </c>
      <c r="F44" s="23">
        <v>1.3</v>
      </c>
      <c r="G44" s="24">
        <v>1.3</v>
      </c>
      <c r="H44" s="23">
        <v>1.3</v>
      </c>
      <c r="I44" s="23">
        <v>1.3</v>
      </c>
      <c r="J44" s="23">
        <v>1.3</v>
      </c>
      <c r="K44" s="23">
        <v>1.3</v>
      </c>
      <c r="L44" s="25">
        <v>7</v>
      </c>
      <c r="M44" s="7">
        <v>21</v>
      </c>
      <c r="N44" s="26">
        <f t="shared" si="0"/>
        <v>918.75</v>
      </c>
      <c r="O44" s="30">
        <v>350</v>
      </c>
      <c r="P44" s="32"/>
      <c r="Q44" s="28">
        <f t="shared" si="1"/>
        <v>3368.75</v>
      </c>
      <c r="R44" s="28">
        <f t="shared" si="3"/>
        <v>3368.75</v>
      </c>
      <c r="S44" s="34">
        <v>38</v>
      </c>
    </row>
    <row r="45" spans="3:19" s="4" customFormat="1" ht="18.95" customHeight="1">
      <c r="C45" s="6">
        <v>39</v>
      </c>
      <c r="D45" s="14" t="s">
        <v>54</v>
      </c>
      <c r="E45" s="22">
        <v>1.4</v>
      </c>
      <c r="F45" s="23"/>
      <c r="G45" s="24">
        <v>1.2</v>
      </c>
      <c r="H45" s="23"/>
      <c r="I45" s="23">
        <v>1</v>
      </c>
      <c r="J45" s="23">
        <v>1</v>
      </c>
      <c r="K45" s="23">
        <v>1</v>
      </c>
      <c r="L45" s="25">
        <v>5</v>
      </c>
      <c r="M45" s="7">
        <v>6</v>
      </c>
      <c r="N45" s="26">
        <f t="shared" si="0"/>
        <v>300</v>
      </c>
      <c r="O45" s="30">
        <v>400</v>
      </c>
      <c r="P45" s="32"/>
      <c r="Q45" s="28">
        <f t="shared" si="1"/>
        <v>2300</v>
      </c>
      <c r="R45" s="28">
        <f t="shared" si="3"/>
        <v>2300</v>
      </c>
      <c r="S45" s="34">
        <v>39</v>
      </c>
    </row>
    <row r="46" spans="3:19" s="4" customFormat="1" ht="18.95" customHeight="1">
      <c r="C46" s="6">
        <v>40</v>
      </c>
      <c r="D46" s="15" t="s">
        <v>55</v>
      </c>
      <c r="E46" s="22">
        <v>1</v>
      </c>
      <c r="F46" s="23">
        <v>1</v>
      </c>
      <c r="G46" s="24"/>
      <c r="H46" s="23"/>
      <c r="I46" s="23"/>
      <c r="J46" s="23">
        <v>1</v>
      </c>
      <c r="K46" s="23">
        <v>1</v>
      </c>
      <c r="L46" s="25">
        <f>SUM(E46:K46)</f>
        <v>4</v>
      </c>
      <c r="M46" s="7"/>
      <c r="N46" s="26">
        <f t="shared" si="0"/>
        <v>0</v>
      </c>
      <c r="O46" s="30">
        <v>400</v>
      </c>
      <c r="P46" s="32"/>
      <c r="Q46" s="28">
        <f t="shared" si="1"/>
        <v>1600</v>
      </c>
      <c r="R46" s="28">
        <f t="shared" si="3"/>
        <v>1600</v>
      </c>
      <c r="S46" s="34">
        <v>40</v>
      </c>
    </row>
    <row r="47" spans="3:19" s="4" customFormat="1" ht="18.95" customHeight="1">
      <c r="C47" s="6">
        <v>41</v>
      </c>
      <c r="D47" s="14" t="s">
        <v>56</v>
      </c>
      <c r="E47" s="22">
        <v>1.4</v>
      </c>
      <c r="F47" s="23">
        <v>3</v>
      </c>
      <c r="G47" s="24">
        <v>0.6</v>
      </c>
      <c r="H47" s="23"/>
      <c r="I47" s="23">
        <v>1</v>
      </c>
      <c r="J47" s="23">
        <v>1</v>
      </c>
      <c r="K47" s="23">
        <v>1</v>
      </c>
      <c r="L47" s="25">
        <v>5</v>
      </c>
      <c r="M47" s="7">
        <v>26</v>
      </c>
      <c r="N47" s="26">
        <f t="shared" si="0"/>
        <v>1300</v>
      </c>
      <c r="O47" s="30">
        <v>400</v>
      </c>
      <c r="P47" s="32"/>
      <c r="Q47" s="28">
        <f t="shared" si="1"/>
        <v>3300</v>
      </c>
      <c r="R47" s="28">
        <f t="shared" si="3"/>
        <v>3300</v>
      </c>
      <c r="S47" s="34">
        <v>41</v>
      </c>
    </row>
    <row r="48" spans="3:19" s="4" customFormat="1" ht="18.95" customHeight="1">
      <c r="C48" s="6">
        <v>42</v>
      </c>
      <c r="D48" s="14" t="s">
        <v>57</v>
      </c>
      <c r="E48" s="22">
        <v>1.4</v>
      </c>
      <c r="F48" s="23">
        <v>1.4</v>
      </c>
      <c r="G48" s="24"/>
      <c r="H48" s="23"/>
      <c r="I48" s="23">
        <v>1</v>
      </c>
      <c r="J48" s="23">
        <v>1</v>
      </c>
      <c r="K48" s="23">
        <v>1</v>
      </c>
      <c r="L48" s="25">
        <v>5</v>
      </c>
      <c r="M48" s="7">
        <v>8</v>
      </c>
      <c r="N48" s="26">
        <f t="shared" si="0"/>
        <v>400</v>
      </c>
      <c r="O48" s="30">
        <v>400</v>
      </c>
      <c r="P48" s="32"/>
      <c r="Q48" s="28">
        <f t="shared" si="1"/>
        <v>2400</v>
      </c>
      <c r="R48" s="28">
        <f t="shared" si="3"/>
        <v>2400</v>
      </c>
      <c r="S48" s="34">
        <v>42</v>
      </c>
    </row>
    <row r="49" spans="3:19" s="4" customFormat="1" ht="18.95" customHeight="1">
      <c r="C49" s="6">
        <v>43</v>
      </c>
      <c r="D49" s="7" t="s">
        <v>58</v>
      </c>
      <c r="E49" s="22">
        <v>2</v>
      </c>
      <c r="F49" s="23">
        <v>1</v>
      </c>
      <c r="G49" s="24"/>
      <c r="H49" s="23"/>
      <c r="I49" s="23">
        <v>2</v>
      </c>
      <c r="J49" s="23">
        <v>1</v>
      </c>
      <c r="K49" s="23">
        <v>1</v>
      </c>
      <c r="L49" s="25">
        <v>5</v>
      </c>
      <c r="M49" s="7">
        <v>16</v>
      </c>
      <c r="N49" s="26">
        <f t="shared" si="0"/>
        <v>800</v>
      </c>
      <c r="O49" s="30">
        <v>400</v>
      </c>
      <c r="P49" s="32"/>
      <c r="Q49" s="28">
        <f t="shared" si="1"/>
        <v>2800</v>
      </c>
      <c r="R49" s="28">
        <f t="shared" ref="R49:R69" si="4">Q49-P49</f>
        <v>2800</v>
      </c>
      <c r="S49" s="34">
        <v>43</v>
      </c>
    </row>
    <row r="50" spans="3:19" s="4" customFormat="1" ht="18.95" customHeight="1">
      <c r="C50" s="6">
        <v>44</v>
      </c>
      <c r="D50" s="7" t="s">
        <v>59</v>
      </c>
      <c r="E50" s="22"/>
      <c r="F50" s="23">
        <v>1</v>
      </c>
      <c r="G50" s="24">
        <v>0.7</v>
      </c>
      <c r="H50" s="23">
        <v>1</v>
      </c>
      <c r="I50" s="23">
        <v>1</v>
      </c>
      <c r="J50" s="23">
        <v>1</v>
      </c>
      <c r="K50" s="23">
        <v>1</v>
      </c>
      <c r="L50" s="25">
        <v>5</v>
      </c>
      <c r="M50" s="7">
        <v>7</v>
      </c>
      <c r="N50" s="26">
        <f t="shared" si="0"/>
        <v>350</v>
      </c>
      <c r="O50" s="30">
        <v>400</v>
      </c>
      <c r="P50" s="32"/>
      <c r="Q50" s="28">
        <f t="shared" si="1"/>
        <v>2350</v>
      </c>
      <c r="R50" s="28">
        <f t="shared" si="4"/>
        <v>2350</v>
      </c>
      <c r="S50" s="34">
        <v>44</v>
      </c>
    </row>
    <row r="51" spans="3:19" s="4" customFormat="1" ht="18.95" customHeight="1">
      <c r="C51" s="6">
        <v>45</v>
      </c>
      <c r="D51" s="7" t="s">
        <v>60</v>
      </c>
      <c r="E51" s="22">
        <v>1.4</v>
      </c>
      <c r="F51" s="23">
        <v>1.4</v>
      </c>
      <c r="G51" s="24"/>
      <c r="H51" s="23">
        <v>1</v>
      </c>
      <c r="I51" s="23">
        <v>1</v>
      </c>
      <c r="J51" s="23">
        <v>1</v>
      </c>
      <c r="K51" s="23"/>
      <c r="L51" s="25">
        <v>5</v>
      </c>
      <c r="M51" s="7">
        <v>8</v>
      </c>
      <c r="N51" s="26">
        <f t="shared" si="0"/>
        <v>400</v>
      </c>
      <c r="O51" s="30">
        <v>400</v>
      </c>
      <c r="P51" s="32"/>
      <c r="Q51" s="28">
        <f t="shared" si="1"/>
        <v>2400</v>
      </c>
      <c r="R51" s="28">
        <f t="shared" si="4"/>
        <v>2400</v>
      </c>
      <c r="S51" s="34">
        <v>45</v>
      </c>
    </row>
    <row r="52" spans="3:19" s="4" customFormat="1" ht="18.95" customHeight="1">
      <c r="C52" s="6">
        <v>46</v>
      </c>
      <c r="D52" s="14" t="s">
        <v>61</v>
      </c>
      <c r="E52" s="22">
        <v>1</v>
      </c>
      <c r="F52" s="23"/>
      <c r="G52" s="24">
        <v>1.2</v>
      </c>
      <c r="H52" s="23"/>
      <c r="I52" s="23">
        <v>1</v>
      </c>
      <c r="J52" s="23">
        <v>1</v>
      </c>
      <c r="K52" s="23">
        <v>1</v>
      </c>
      <c r="L52" s="25">
        <v>5</v>
      </c>
      <c r="M52" s="7">
        <v>2</v>
      </c>
      <c r="N52" s="26">
        <f t="shared" si="0"/>
        <v>100</v>
      </c>
      <c r="O52" s="30">
        <v>400</v>
      </c>
      <c r="P52" s="32"/>
      <c r="Q52" s="28">
        <f t="shared" si="1"/>
        <v>2100</v>
      </c>
      <c r="R52" s="28">
        <f t="shared" si="4"/>
        <v>2100</v>
      </c>
      <c r="S52" s="34">
        <v>46</v>
      </c>
    </row>
    <row r="53" spans="3:19" s="4" customFormat="1" ht="18.95" customHeight="1">
      <c r="C53" s="6">
        <v>47</v>
      </c>
      <c r="D53" s="15" t="s">
        <v>62</v>
      </c>
      <c r="E53" s="22"/>
      <c r="F53" s="23"/>
      <c r="G53" s="24"/>
      <c r="H53" s="23">
        <v>1</v>
      </c>
      <c r="I53" s="23">
        <v>1</v>
      </c>
      <c r="J53" s="23">
        <v>1</v>
      </c>
      <c r="K53" s="23">
        <v>1</v>
      </c>
      <c r="L53" s="25">
        <f>SUM(E53:K53)</f>
        <v>4</v>
      </c>
      <c r="M53" s="7"/>
      <c r="N53" s="26">
        <f t="shared" si="0"/>
        <v>0</v>
      </c>
      <c r="O53" s="30">
        <v>400</v>
      </c>
      <c r="P53" s="32"/>
      <c r="Q53" s="28">
        <f t="shared" si="1"/>
        <v>1600</v>
      </c>
      <c r="R53" s="28">
        <f t="shared" si="4"/>
        <v>1600</v>
      </c>
      <c r="S53" s="34">
        <v>47</v>
      </c>
    </row>
    <row r="54" spans="3:19" s="4" customFormat="1" ht="18.95" customHeight="1">
      <c r="C54" s="6">
        <v>48</v>
      </c>
      <c r="D54" s="7" t="s">
        <v>63</v>
      </c>
      <c r="E54" s="22">
        <v>1.4</v>
      </c>
      <c r="F54" s="23"/>
      <c r="G54" s="24">
        <v>1.2</v>
      </c>
      <c r="H54" s="23"/>
      <c r="I54" s="23">
        <v>1</v>
      </c>
      <c r="J54" s="23">
        <v>1</v>
      </c>
      <c r="K54" s="23">
        <v>1</v>
      </c>
      <c r="L54" s="25">
        <v>5</v>
      </c>
      <c r="M54" s="7">
        <v>6</v>
      </c>
      <c r="N54" s="26">
        <f t="shared" si="0"/>
        <v>300</v>
      </c>
      <c r="O54" s="30">
        <v>400</v>
      </c>
      <c r="P54" s="32"/>
      <c r="Q54" s="28">
        <f t="shared" si="1"/>
        <v>2300</v>
      </c>
      <c r="R54" s="28">
        <f t="shared" si="4"/>
        <v>2300</v>
      </c>
      <c r="S54" s="34">
        <v>48</v>
      </c>
    </row>
    <row r="55" spans="3:19" s="4" customFormat="1" ht="18.95" customHeight="1">
      <c r="C55" s="6">
        <v>49</v>
      </c>
      <c r="D55" s="14" t="s">
        <v>64</v>
      </c>
      <c r="E55" s="22">
        <v>1</v>
      </c>
      <c r="F55" s="23">
        <v>1.3</v>
      </c>
      <c r="G55" s="24">
        <v>1</v>
      </c>
      <c r="H55" s="23">
        <v>1.3</v>
      </c>
      <c r="I55" s="23">
        <v>1.3</v>
      </c>
      <c r="J55" s="23">
        <v>1</v>
      </c>
      <c r="K55" s="23">
        <v>1.3</v>
      </c>
      <c r="L55" s="25">
        <v>7</v>
      </c>
      <c r="M55" s="7">
        <v>12</v>
      </c>
      <c r="N55" s="26">
        <f t="shared" si="0"/>
        <v>825</v>
      </c>
      <c r="O55" s="30">
        <v>550</v>
      </c>
      <c r="P55" s="32"/>
      <c r="Q55" s="28">
        <f t="shared" si="1"/>
        <v>4675</v>
      </c>
      <c r="R55" s="28">
        <f t="shared" si="4"/>
        <v>4675</v>
      </c>
      <c r="S55" s="34">
        <v>49</v>
      </c>
    </row>
    <row r="56" spans="3:19" s="4" customFormat="1" ht="18.95" customHeight="1">
      <c r="C56" s="6">
        <v>50</v>
      </c>
      <c r="D56" s="7" t="s">
        <v>65</v>
      </c>
      <c r="E56" s="22">
        <v>1.4</v>
      </c>
      <c r="F56" s="23">
        <v>1.4</v>
      </c>
      <c r="G56" s="24">
        <v>1.4</v>
      </c>
      <c r="H56" s="23">
        <v>1</v>
      </c>
      <c r="I56" s="23">
        <v>2</v>
      </c>
      <c r="J56" s="23">
        <v>1</v>
      </c>
      <c r="K56" s="23">
        <v>1</v>
      </c>
      <c r="L56" s="25">
        <v>7</v>
      </c>
      <c r="M56" s="7">
        <v>20</v>
      </c>
      <c r="N56" s="26">
        <f t="shared" si="0"/>
        <v>1000</v>
      </c>
      <c r="O56" s="30">
        <v>400</v>
      </c>
      <c r="P56" s="32"/>
      <c r="Q56" s="28">
        <f t="shared" si="1"/>
        <v>3800</v>
      </c>
      <c r="R56" s="28">
        <f t="shared" si="4"/>
        <v>3800</v>
      </c>
      <c r="S56" s="34">
        <v>50</v>
      </c>
    </row>
    <row r="57" spans="3:19" s="4" customFormat="1" ht="18.95" customHeight="1">
      <c r="C57" s="6">
        <v>51</v>
      </c>
      <c r="D57" s="14" t="s">
        <v>66</v>
      </c>
      <c r="E57" s="22"/>
      <c r="F57" s="23">
        <v>1.4</v>
      </c>
      <c r="G57" s="24">
        <v>1.7</v>
      </c>
      <c r="H57" s="23">
        <v>1</v>
      </c>
      <c r="I57" s="23">
        <v>1</v>
      </c>
      <c r="J57" s="23">
        <v>2</v>
      </c>
      <c r="K57" s="23">
        <v>1</v>
      </c>
      <c r="L57" s="25">
        <v>6</v>
      </c>
      <c r="M57" s="7">
        <v>19</v>
      </c>
      <c r="N57" s="26">
        <f t="shared" si="0"/>
        <v>950</v>
      </c>
      <c r="O57" s="30">
        <v>400</v>
      </c>
      <c r="P57" s="32"/>
      <c r="Q57" s="28">
        <f t="shared" si="1"/>
        <v>3350</v>
      </c>
      <c r="R57" s="28">
        <f t="shared" si="4"/>
        <v>3350</v>
      </c>
      <c r="S57" s="34">
        <v>51</v>
      </c>
    </row>
    <row r="58" spans="3:19" s="4" customFormat="1" ht="18.95" customHeight="1">
      <c r="C58" s="6">
        <v>52</v>
      </c>
      <c r="D58" s="7" t="s">
        <v>67</v>
      </c>
      <c r="E58" s="22">
        <v>1</v>
      </c>
      <c r="F58" s="23">
        <v>1</v>
      </c>
      <c r="G58" s="24"/>
      <c r="H58" s="23"/>
      <c r="I58" s="23">
        <v>0.2</v>
      </c>
      <c r="J58" s="23">
        <v>1</v>
      </c>
      <c r="K58" s="23">
        <v>1</v>
      </c>
      <c r="L58" s="25">
        <v>4</v>
      </c>
      <c r="M58" s="7">
        <v>2</v>
      </c>
      <c r="N58" s="26">
        <f t="shared" si="0"/>
        <v>100</v>
      </c>
      <c r="O58" s="30">
        <v>400</v>
      </c>
      <c r="P58" s="32"/>
      <c r="Q58" s="28">
        <f t="shared" si="1"/>
        <v>1700</v>
      </c>
      <c r="R58" s="28">
        <f t="shared" si="4"/>
        <v>1700</v>
      </c>
      <c r="S58" s="34">
        <v>52</v>
      </c>
    </row>
    <row r="59" spans="3:19" s="4" customFormat="1" ht="18.95" customHeight="1">
      <c r="C59" s="6">
        <v>53</v>
      </c>
      <c r="D59" s="14" t="s">
        <v>68</v>
      </c>
      <c r="E59" s="22">
        <v>1</v>
      </c>
      <c r="F59" s="23">
        <v>1</v>
      </c>
      <c r="G59" s="24">
        <v>1</v>
      </c>
      <c r="H59" s="23">
        <v>1</v>
      </c>
      <c r="I59" s="23">
        <v>1</v>
      </c>
      <c r="J59" s="23">
        <v>1</v>
      </c>
      <c r="K59" s="23">
        <v>1</v>
      </c>
      <c r="L59" s="25">
        <f>SUM(E59:K59)</f>
        <v>7</v>
      </c>
      <c r="M59" s="7"/>
      <c r="N59" s="26">
        <f t="shared" si="0"/>
        <v>0</v>
      </c>
      <c r="O59" s="30">
        <v>400</v>
      </c>
      <c r="P59" s="32"/>
      <c r="Q59" s="28">
        <f t="shared" si="1"/>
        <v>2800</v>
      </c>
      <c r="R59" s="28">
        <f t="shared" si="4"/>
        <v>2800</v>
      </c>
      <c r="S59" s="34">
        <v>53</v>
      </c>
    </row>
    <row r="60" spans="3:19" s="4" customFormat="1" ht="18.95" customHeight="1">
      <c r="C60" s="6">
        <v>54</v>
      </c>
      <c r="D60" s="14" t="s">
        <v>69</v>
      </c>
      <c r="E60" s="22">
        <v>2.4</v>
      </c>
      <c r="F60" s="23">
        <v>1.4</v>
      </c>
      <c r="G60" s="24"/>
      <c r="H60" s="23">
        <v>2</v>
      </c>
      <c r="I60" s="23">
        <v>1</v>
      </c>
      <c r="J60" s="23">
        <v>1</v>
      </c>
      <c r="K60" s="23">
        <v>1</v>
      </c>
      <c r="L60" s="25">
        <v>6</v>
      </c>
      <c r="M60" s="7">
        <v>24</v>
      </c>
      <c r="N60" s="26">
        <f t="shared" si="0"/>
        <v>1200</v>
      </c>
      <c r="O60" s="30">
        <v>400</v>
      </c>
      <c r="P60" s="32"/>
      <c r="Q60" s="28">
        <f t="shared" si="1"/>
        <v>3600</v>
      </c>
      <c r="R60" s="28">
        <f t="shared" si="4"/>
        <v>3600</v>
      </c>
      <c r="S60" s="34">
        <v>54</v>
      </c>
    </row>
    <row r="61" spans="3:19" s="4" customFormat="1" ht="18.95" customHeight="1">
      <c r="C61" s="6">
        <v>55</v>
      </c>
      <c r="D61" s="14" t="s">
        <v>70</v>
      </c>
      <c r="E61" s="22">
        <v>1.4</v>
      </c>
      <c r="F61" s="23">
        <v>1.4</v>
      </c>
      <c r="G61" s="24">
        <v>0.3</v>
      </c>
      <c r="H61" s="23"/>
      <c r="I61" s="23"/>
      <c r="J61" s="23">
        <v>1</v>
      </c>
      <c r="K61" s="23"/>
      <c r="L61" s="25">
        <v>3</v>
      </c>
      <c r="M61" s="7">
        <v>11</v>
      </c>
      <c r="N61" s="26">
        <f t="shared" si="0"/>
        <v>550</v>
      </c>
      <c r="O61" s="30">
        <v>400</v>
      </c>
      <c r="P61" s="32"/>
      <c r="Q61" s="28">
        <f t="shared" si="1"/>
        <v>1750</v>
      </c>
      <c r="R61" s="28">
        <f t="shared" si="4"/>
        <v>1750</v>
      </c>
      <c r="S61" s="34">
        <v>55</v>
      </c>
    </row>
    <row r="62" spans="3:19" s="4" customFormat="1" ht="18.95" customHeight="1">
      <c r="C62" s="6">
        <v>56</v>
      </c>
      <c r="D62" s="14" t="s">
        <v>71</v>
      </c>
      <c r="E62" s="22">
        <v>1.4</v>
      </c>
      <c r="F62" s="23">
        <v>0.2</v>
      </c>
      <c r="G62" s="9"/>
      <c r="H62" s="23">
        <v>1</v>
      </c>
      <c r="I62" s="23">
        <v>1</v>
      </c>
      <c r="J62" s="23">
        <v>1</v>
      </c>
      <c r="K62" s="23">
        <v>1</v>
      </c>
      <c r="L62" s="25">
        <v>5</v>
      </c>
      <c r="M62" s="7">
        <v>6</v>
      </c>
      <c r="N62" s="26">
        <f t="shared" si="0"/>
        <v>300</v>
      </c>
      <c r="O62" s="30">
        <v>400</v>
      </c>
      <c r="P62" s="32"/>
      <c r="Q62" s="28">
        <f t="shared" si="1"/>
        <v>2300</v>
      </c>
      <c r="R62" s="28">
        <f t="shared" si="4"/>
        <v>2300</v>
      </c>
      <c r="S62" s="34">
        <v>56</v>
      </c>
    </row>
    <row r="63" spans="3:19" s="4" customFormat="1" ht="18.95" customHeight="1">
      <c r="C63" s="6">
        <v>57</v>
      </c>
      <c r="D63" s="14" t="s">
        <v>72</v>
      </c>
      <c r="E63" s="26">
        <v>1</v>
      </c>
      <c r="F63" s="26">
        <v>1</v>
      </c>
      <c r="G63" s="35"/>
      <c r="H63" s="26"/>
      <c r="I63" s="26"/>
      <c r="J63" s="26"/>
      <c r="K63" s="26"/>
      <c r="L63" s="25">
        <f>SUM(E63:K63)</f>
        <v>2</v>
      </c>
      <c r="M63" s="7"/>
      <c r="N63" s="26">
        <f t="shared" si="0"/>
        <v>0</v>
      </c>
      <c r="O63" s="30">
        <v>400</v>
      </c>
      <c r="P63" s="32"/>
      <c r="Q63" s="28">
        <f t="shared" si="1"/>
        <v>800</v>
      </c>
      <c r="R63" s="28">
        <f t="shared" si="4"/>
        <v>800</v>
      </c>
      <c r="S63" s="34">
        <v>57</v>
      </c>
    </row>
    <row r="64" spans="3:19" s="4" customFormat="1" ht="18.95" customHeight="1">
      <c r="C64" s="6">
        <v>58</v>
      </c>
      <c r="D64" s="14" t="s">
        <v>73</v>
      </c>
      <c r="E64" s="26"/>
      <c r="F64" s="26"/>
      <c r="G64" s="35"/>
      <c r="H64" s="26"/>
      <c r="I64" s="26"/>
      <c r="J64" s="26"/>
      <c r="K64" s="26"/>
      <c r="L64" s="25">
        <f>SUM(E64:K64)</f>
        <v>0</v>
      </c>
      <c r="M64" s="7"/>
      <c r="N64" s="26">
        <f t="shared" si="0"/>
        <v>0</v>
      </c>
      <c r="O64" s="30">
        <v>400</v>
      </c>
      <c r="P64" s="32"/>
      <c r="Q64" s="28">
        <f t="shared" si="1"/>
        <v>0</v>
      </c>
      <c r="R64" s="28">
        <f t="shared" si="4"/>
        <v>0</v>
      </c>
      <c r="S64" s="34">
        <v>58</v>
      </c>
    </row>
    <row r="65" spans="3:19" s="4" customFormat="1" ht="18.95" customHeight="1">
      <c r="C65" s="6">
        <v>59</v>
      </c>
      <c r="D65" s="14" t="s">
        <v>74</v>
      </c>
      <c r="E65" s="26">
        <v>1</v>
      </c>
      <c r="F65" s="26">
        <v>1</v>
      </c>
      <c r="G65" s="35"/>
      <c r="H65" s="26">
        <v>1</v>
      </c>
      <c r="I65" s="26"/>
      <c r="J65" s="26">
        <v>1</v>
      </c>
      <c r="K65" s="26">
        <v>1</v>
      </c>
      <c r="L65" s="25">
        <f>SUM(E65:K65)</f>
        <v>5</v>
      </c>
      <c r="M65" s="7"/>
      <c r="N65" s="26">
        <f t="shared" si="0"/>
        <v>0</v>
      </c>
      <c r="O65" s="30">
        <v>400</v>
      </c>
      <c r="P65" s="32"/>
      <c r="Q65" s="28">
        <f t="shared" si="1"/>
        <v>2000</v>
      </c>
      <c r="R65" s="28">
        <f t="shared" si="4"/>
        <v>2000</v>
      </c>
      <c r="S65" s="34">
        <v>59</v>
      </c>
    </row>
    <row r="66" spans="3:19" s="4" customFormat="1" ht="18.95" customHeight="1">
      <c r="C66" s="6">
        <v>60</v>
      </c>
      <c r="D66" s="14" t="s">
        <v>75</v>
      </c>
      <c r="E66" s="26"/>
      <c r="F66" s="26"/>
      <c r="G66" s="35"/>
      <c r="H66" s="26">
        <v>1</v>
      </c>
      <c r="I66" s="26">
        <v>1</v>
      </c>
      <c r="J66" s="26">
        <v>1</v>
      </c>
      <c r="K66" s="26">
        <v>1</v>
      </c>
      <c r="L66" s="25">
        <f>SUM(E66:K66)</f>
        <v>4</v>
      </c>
      <c r="M66" s="26"/>
      <c r="N66" s="26">
        <f t="shared" si="0"/>
        <v>0</v>
      </c>
      <c r="O66" s="30">
        <v>400</v>
      </c>
      <c r="P66" s="32"/>
      <c r="Q66" s="28">
        <f t="shared" si="1"/>
        <v>1600</v>
      </c>
      <c r="R66" s="28">
        <f t="shared" si="4"/>
        <v>1600</v>
      </c>
      <c r="S66" s="34">
        <v>60</v>
      </c>
    </row>
    <row r="67" spans="3:19" s="4" customFormat="1" ht="18.95" customHeight="1">
      <c r="C67" s="6">
        <v>61</v>
      </c>
      <c r="D67" s="14" t="s">
        <v>76</v>
      </c>
      <c r="E67" s="26"/>
      <c r="F67" s="26">
        <v>1</v>
      </c>
      <c r="G67" s="35">
        <v>2.6</v>
      </c>
      <c r="H67" s="26">
        <v>1</v>
      </c>
      <c r="I67" s="26">
        <v>1</v>
      </c>
      <c r="J67" s="26"/>
      <c r="K67" s="26">
        <v>1</v>
      </c>
      <c r="L67" s="25">
        <v>5</v>
      </c>
      <c r="M67" s="26">
        <v>14</v>
      </c>
      <c r="N67" s="26">
        <f t="shared" si="0"/>
        <v>700</v>
      </c>
      <c r="O67" s="30">
        <v>400</v>
      </c>
      <c r="P67" s="32"/>
      <c r="Q67" s="28">
        <f t="shared" si="1"/>
        <v>2700</v>
      </c>
      <c r="R67" s="28">
        <f t="shared" si="4"/>
        <v>2700</v>
      </c>
      <c r="S67" s="34">
        <v>61</v>
      </c>
    </row>
    <row r="68" spans="3:19" s="4" customFormat="1" ht="18.95" customHeight="1">
      <c r="C68" s="6">
        <v>62</v>
      </c>
      <c r="D68" s="14" t="s">
        <v>77</v>
      </c>
      <c r="E68" s="26">
        <v>1</v>
      </c>
      <c r="F68" s="26">
        <v>2</v>
      </c>
      <c r="G68" s="35"/>
      <c r="H68" s="26">
        <v>2</v>
      </c>
      <c r="I68" s="26">
        <v>2</v>
      </c>
      <c r="J68" s="26">
        <v>1.2</v>
      </c>
      <c r="K68" s="26">
        <v>1.2</v>
      </c>
      <c r="L68" s="25">
        <v>6</v>
      </c>
      <c r="M68" s="26">
        <v>28</v>
      </c>
      <c r="N68" s="26">
        <f t="shared" si="0"/>
        <v>1400</v>
      </c>
      <c r="O68" s="30">
        <v>400</v>
      </c>
      <c r="P68" s="32"/>
      <c r="Q68" s="28">
        <f t="shared" si="1"/>
        <v>3800</v>
      </c>
      <c r="R68" s="28">
        <f t="shared" si="4"/>
        <v>3800</v>
      </c>
      <c r="S68" s="34">
        <v>62</v>
      </c>
    </row>
    <row r="69" spans="3:19" s="4" customFormat="1" ht="18.95" customHeight="1">
      <c r="C69" s="6">
        <v>63</v>
      </c>
      <c r="D69" s="14" t="s">
        <v>78</v>
      </c>
      <c r="E69" s="26"/>
      <c r="F69" s="26"/>
      <c r="G69" s="26"/>
      <c r="H69" s="26">
        <v>1</v>
      </c>
      <c r="I69" s="26">
        <v>1</v>
      </c>
      <c r="J69" s="26">
        <v>1</v>
      </c>
      <c r="K69" s="26">
        <v>1</v>
      </c>
      <c r="L69" s="50">
        <f>SUM(E69:K69)</f>
        <v>4</v>
      </c>
      <c r="M69" s="26"/>
      <c r="N69" s="26">
        <f t="shared" ref="N69:N75" si="5">O69/8*M69</f>
        <v>0</v>
      </c>
      <c r="O69" s="30">
        <v>400</v>
      </c>
      <c r="P69" s="32"/>
      <c r="Q69" s="28">
        <f t="shared" si="1"/>
        <v>1600</v>
      </c>
      <c r="R69" s="28">
        <f t="shared" si="4"/>
        <v>1600</v>
      </c>
      <c r="S69" s="34">
        <v>63</v>
      </c>
    </row>
    <row r="70" spans="3:19" s="4" customFormat="1" ht="18.95" customHeight="1">
      <c r="C70" s="6">
        <v>64</v>
      </c>
      <c r="D70" s="14" t="s">
        <v>79</v>
      </c>
      <c r="E70" s="26"/>
      <c r="F70" s="26"/>
      <c r="G70" s="26"/>
      <c r="H70" s="26">
        <v>1</v>
      </c>
      <c r="I70" s="26">
        <v>1</v>
      </c>
      <c r="J70" s="26">
        <v>1</v>
      </c>
      <c r="K70" s="26">
        <v>1</v>
      </c>
      <c r="L70" s="50">
        <f t="shared" ref="L70:L75" si="6">SUM(E70:K70)</f>
        <v>4</v>
      </c>
      <c r="M70" s="26"/>
      <c r="N70" s="26">
        <f t="shared" si="5"/>
        <v>0</v>
      </c>
      <c r="O70" s="30">
        <v>400</v>
      </c>
      <c r="P70" s="32"/>
      <c r="Q70" s="28">
        <f t="shared" si="1"/>
        <v>1600</v>
      </c>
      <c r="R70" s="28">
        <f t="shared" ref="R70:R75" si="7">Q70-P70</f>
        <v>1600</v>
      </c>
      <c r="S70" s="34">
        <v>64</v>
      </c>
    </row>
    <row r="71" spans="3:19" s="4" customFormat="1" ht="18.95" customHeight="1">
      <c r="C71" s="6">
        <v>65</v>
      </c>
      <c r="D71" s="14" t="s">
        <v>80</v>
      </c>
      <c r="E71" s="26"/>
      <c r="F71" s="26"/>
      <c r="G71" s="26"/>
      <c r="H71" s="26">
        <v>1</v>
      </c>
      <c r="I71" s="26">
        <v>1</v>
      </c>
      <c r="J71" s="26">
        <v>1</v>
      </c>
      <c r="K71" s="26">
        <v>1</v>
      </c>
      <c r="L71" s="50">
        <f t="shared" si="6"/>
        <v>4</v>
      </c>
      <c r="M71" s="26"/>
      <c r="N71" s="26">
        <f t="shared" si="5"/>
        <v>0</v>
      </c>
      <c r="O71" s="30">
        <v>400</v>
      </c>
      <c r="P71" s="32"/>
      <c r="Q71" s="28">
        <f t="shared" si="1"/>
        <v>1600</v>
      </c>
      <c r="R71" s="28">
        <f t="shared" si="7"/>
        <v>1600</v>
      </c>
      <c r="S71" s="34">
        <v>65</v>
      </c>
    </row>
    <row r="72" spans="3:19" s="4" customFormat="1" ht="18.95" customHeight="1">
      <c r="C72" s="6">
        <v>66</v>
      </c>
      <c r="D72" s="14" t="s">
        <v>81</v>
      </c>
      <c r="E72" s="26"/>
      <c r="F72" s="26"/>
      <c r="G72" s="26"/>
      <c r="H72" s="26">
        <v>1</v>
      </c>
      <c r="I72" s="26"/>
      <c r="J72" s="26">
        <v>1</v>
      </c>
      <c r="K72" s="26">
        <v>1</v>
      </c>
      <c r="L72" s="50">
        <f t="shared" si="6"/>
        <v>3</v>
      </c>
      <c r="M72" s="26"/>
      <c r="N72" s="26">
        <f t="shared" si="5"/>
        <v>0</v>
      </c>
      <c r="O72" s="30">
        <v>400</v>
      </c>
      <c r="P72" s="32"/>
      <c r="Q72" s="28">
        <f t="shared" si="1"/>
        <v>1200</v>
      </c>
      <c r="R72" s="28">
        <f t="shared" si="7"/>
        <v>1200</v>
      </c>
      <c r="S72" s="34">
        <v>66</v>
      </c>
    </row>
    <row r="73" spans="3:19" s="4" customFormat="1" ht="18.95" customHeight="1">
      <c r="C73" s="6">
        <v>67</v>
      </c>
      <c r="D73" s="14" t="s">
        <v>82</v>
      </c>
      <c r="E73" s="26"/>
      <c r="F73" s="26"/>
      <c r="G73" s="26"/>
      <c r="H73" s="26">
        <v>1</v>
      </c>
      <c r="I73" s="26"/>
      <c r="J73" s="26">
        <v>1</v>
      </c>
      <c r="K73" s="26">
        <v>1</v>
      </c>
      <c r="L73" s="50">
        <f t="shared" si="6"/>
        <v>3</v>
      </c>
      <c r="M73" s="26"/>
      <c r="N73" s="26">
        <f t="shared" si="5"/>
        <v>0</v>
      </c>
      <c r="O73" s="30">
        <v>400</v>
      </c>
      <c r="P73" s="32"/>
      <c r="Q73" s="28">
        <f t="shared" si="1"/>
        <v>1200</v>
      </c>
      <c r="R73" s="28">
        <f t="shared" si="7"/>
        <v>1200</v>
      </c>
      <c r="S73" s="34">
        <v>67</v>
      </c>
    </row>
    <row r="74" spans="3:19" s="4" customFormat="1" ht="18.95" customHeight="1">
      <c r="C74" s="6">
        <v>68</v>
      </c>
      <c r="D74" s="14" t="s">
        <v>83</v>
      </c>
      <c r="E74" s="26"/>
      <c r="F74" s="26"/>
      <c r="G74" s="26"/>
      <c r="H74" s="26">
        <v>2</v>
      </c>
      <c r="I74" s="26">
        <v>1</v>
      </c>
      <c r="J74" s="26">
        <v>1</v>
      </c>
      <c r="K74" s="26">
        <v>1</v>
      </c>
      <c r="L74" s="50">
        <v>4</v>
      </c>
      <c r="M74" s="26">
        <v>8</v>
      </c>
      <c r="N74" s="26">
        <f t="shared" si="5"/>
        <v>400</v>
      </c>
      <c r="O74" s="30">
        <v>400</v>
      </c>
      <c r="P74" s="32"/>
      <c r="Q74" s="28">
        <f t="shared" ref="Q74:Q75" si="8">L74*O74+N74</f>
        <v>2000</v>
      </c>
      <c r="R74" s="28">
        <f t="shared" si="7"/>
        <v>2000</v>
      </c>
      <c r="S74" s="34">
        <v>68</v>
      </c>
    </row>
    <row r="75" spans="3:19" s="4" customFormat="1" ht="18.95" customHeight="1">
      <c r="C75" s="6">
        <v>69</v>
      </c>
      <c r="D75" s="14" t="s">
        <v>84</v>
      </c>
      <c r="E75" s="26"/>
      <c r="F75" s="26"/>
      <c r="G75" s="26"/>
      <c r="H75" s="26">
        <v>1</v>
      </c>
      <c r="I75" s="26">
        <v>1</v>
      </c>
      <c r="J75" s="26">
        <v>1</v>
      </c>
      <c r="K75" s="26">
        <v>1</v>
      </c>
      <c r="L75" s="50">
        <f t="shared" si="6"/>
        <v>4</v>
      </c>
      <c r="M75" s="26"/>
      <c r="N75" s="26">
        <f t="shared" si="5"/>
        <v>0</v>
      </c>
      <c r="O75" s="30">
        <v>400</v>
      </c>
      <c r="P75" s="32"/>
      <c r="Q75" s="28">
        <f t="shared" si="8"/>
        <v>1600</v>
      </c>
      <c r="R75" s="28">
        <f t="shared" si="7"/>
        <v>1600</v>
      </c>
      <c r="S75" s="34">
        <v>69</v>
      </c>
    </row>
    <row r="76" spans="3:19" s="4" customFormat="1" ht="18.95" customHeight="1">
      <c r="C76" s="6"/>
      <c r="D76" s="14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30"/>
      <c r="P76" s="32"/>
      <c r="Q76" s="28"/>
      <c r="R76" s="28"/>
      <c r="S76" s="34"/>
    </row>
    <row r="77" spans="3:19" s="4" customFormat="1" ht="18.95" customHeight="1">
      <c r="C77" s="6"/>
      <c r="D77" s="14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30"/>
      <c r="P77" s="32"/>
      <c r="Q77" s="28"/>
      <c r="R77" s="28"/>
      <c r="S77" s="34"/>
    </row>
    <row r="78" spans="3:19" s="4" customFormat="1" ht="20.100000000000001" customHeight="1">
      <c r="D78" s="36" t="s">
        <v>85</v>
      </c>
      <c r="E78" s="36"/>
      <c r="F78" s="36"/>
      <c r="G78" s="36"/>
      <c r="H78" s="36"/>
      <c r="I78" s="37"/>
      <c r="J78" s="36"/>
      <c r="K78" s="36"/>
      <c r="L78" s="36"/>
      <c r="M78" s="36"/>
      <c r="N78" s="36"/>
      <c r="O78" s="32"/>
      <c r="P78" s="42">
        <f>SUM(P5:P77)</f>
        <v>1620</v>
      </c>
      <c r="Q78" s="42">
        <f>SUM(Q5:Q77)</f>
        <v>172875</v>
      </c>
      <c r="R78" s="42">
        <f>SUM(R5:R77)</f>
        <v>171255</v>
      </c>
      <c r="S78" s="42"/>
    </row>
    <row r="79" spans="3:19" ht="11.1" customHeight="1">
      <c r="D79" s="38"/>
      <c r="E79" s="38"/>
      <c r="F79" s="39"/>
      <c r="G79" s="39"/>
      <c r="H79" s="39"/>
      <c r="I79" s="39"/>
      <c r="J79" s="39"/>
      <c r="K79" s="39"/>
      <c r="L79" s="43"/>
      <c r="M79" s="44"/>
      <c r="N79" s="38"/>
      <c r="O79" s="45"/>
      <c r="P79" s="45"/>
      <c r="Q79" s="45"/>
      <c r="R79" s="45"/>
    </row>
    <row r="80" spans="3:19" ht="12.95" customHeight="1">
      <c r="D80" s="38"/>
      <c r="E80" s="38"/>
      <c r="F80" s="39"/>
      <c r="G80" s="39"/>
      <c r="H80" s="39"/>
      <c r="I80" s="39"/>
      <c r="J80" s="39"/>
      <c r="K80" s="39"/>
      <c r="L80" s="43"/>
      <c r="M80" s="44"/>
      <c r="N80" s="38"/>
      <c r="O80" s="45"/>
      <c r="P80" s="45"/>
      <c r="Q80" s="45"/>
      <c r="R80" s="45"/>
    </row>
    <row r="81" spans="4:14">
      <c r="D81" s="38" t="s">
        <v>86</v>
      </c>
      <c r="E81" s="38"/>
      <c r="F81" s="39"/>
      <c r="G81" s="39"/>
      <c r="H81" s="39"/>
      <c r="I81" s="39"/>
      <c r="J81" s="39"/>
      <c r="K81" s="39"/>
      <c r="L81" s="43"/>
      <c r="M81" s="44"/>
      <c r="N81" s="38"/>
    </row>
    <row r="82" spans="4:14">
      <c r="D82" s="40" t="s">
        <v>87</v>
      </c>
      <c r="L82" s="43"/>
      <c r="M82" s="44"/>
    </row>
    <row r="83" spans="4:14">
      <c r="L83" s="43"/>
      <c r="M83" s="44"/>
    </row>
    <row r="84" spans="4:14">
      <c r="L84" s="43"/>
      <c r="M84" s="44"/>
    </row>
    <row r="85" spans="4:14">
      <c r="L85" s="43"/>
      <c r="M85" s="44"/>
    </row>
    <row r="86" spans="4:14">
      <c r="L86" s="43"/>
      <c r="M86" s="44"/>
    </row>
  </sheetData>
  <sortState ref="D8:D67">
    <sortCondition ref="D8"/>
  </sortState>
  <mergeCells count="3">
    <mergeCell ref="C2:S2"/>
    <mergeCell ref="C3:S3"/>
    <mergeCell ref="C7:S7"/>
  </mergeCells>
  <pageMargins left="0.7" right="0.45" top="0.65500000000000003" bottom="0.75" header="0.3" footer="0.3"/>
  <pageSetup paperSize="9" scale="92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S78"/>
  <sheetViews>
    <sheetView topLeftCell="B32" zoomScale="115" zoomScaleNormal="115" workbookViewId="0">
      <selection activeCell="B74" sqref="B2:R74"/>
    </sheetView>
  </sheetViews>
  <sheetFormatPr defaultColWidth="9" defaultRowHeight="15"/>
  <cols>
    <col min="1" max="1" width="8.140625" hidden="1" customWidth="1"/>
    <col min="2" max="2" width="6" customWidth="1"/>
    <col min="3" max="3" width="23.85546875" customWidth="1"/>
    <col min="4" max="4" width="0.140625" hidden="1" customWidth="1"/>
    <col min="5" max="5" width="10.140625" style="3" hidden="1" customWidth="1"/>
    <col min="6" max="6" width="8" style="3" hidden="1" customWidth="1"/>
    <col min="7" max="7" width="8.42578125" style="5" hidden="1" customWidth="1"/>
    <col min="8" max="8" width="7.28515625" style="3" hidden="1" customWidth="1"/>
    <col min="9" max="9" width="9" style="3" hidden="1" customWidth="1"/>
    <col min="10" max="10" width="9.28515625" style="3" hidden="1" customWidth="1"/>
    <col min="11" max="12" width="5.7109375" customWidth="1"/>
    <col min="13" max="13" width="7" customWidth="1"/>
    <col min="14" max="14" width="6.7109375" customWidth="1"/>
    <col min="15" max="15" width="8" customWidth="1"/>
    <col min="16" max="16" width="11.5703125" customWidth="1"/>
    <col min="17" max="17" width="13" customWidth="1"/>
    <col min="18" max="18" width="10.7109375" customWidth="1"/>
  </cols>
  <sheetData>
    <row r="1" spans="2:19" ht="4.5" customHeight="1"/>
    <row r="2" spans="2:19" ht="23.25">
      <c r="B2" s="53" t="s">
        <v>0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</row>
    <row r="3" spans="2:19" ht="18.75">
      <c r="B3" s="55" t="s">
        <v>89</v>
      </c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</row>
    <row r="4" spans="2:19" s="1" customFormat="1" ht="20.100000000000001" customHeight="1">
      <c r="B4" s="6">
        <v>1</v>
      </c>
      <c r="C4" s="7" t="s">
        <v>2</v>
      </c>
      <c r="D4" s="8">
        <v>1.3</v>
      </c>
      <c r="E4" s="8">
        <v>1.3</v>
      </c>
      <c r="F4" s="9">
        <v>1.3</v>
      </c>
      <c r="G4" s="8">
        <v>1</v>
      </c>
      <c r="H4" s="8">
        <v>1.3</v>
      </c>
      <c r="I4" s="8">
        <v>1.3</v>
      </c>
      <c r="J4" s="8">
        <v>1.3</v>
      </c>
      <c r="K4" s="25">
        <v>7</v>
      </c>
      <c r="L4" s="7">
        <v>18</v>
      </c>
      <c r="M4" s="26">
        <f>N4/8*L4</f>
        <v>787.5</v>
      </c>
      <c r="N4" s="27">
        <v>350</v>
      </c>
      <c r="O4" s="27">
        <v>560</v>
      </c>
      <c r="P4" s="28">
        <f>K4*N4+M4+50</f>
        <v>3287.5</v>
      </c>
      <c r="Q4" s="28">
        <f>P4-O4</f>
        <v>2727.5</v>
      </c>
      <c r="R4" s="34">
        <v>1</v>
      </c>
    </row>
    <row r="5" spans="2:19" s="2" customFormat="1" ht="18.95" customHeight="1">
      <c r="B5" s="6">
        <v>2</v>
      </c>
      <c r="C5" s="7" t="s">
        <v>3</v>
      </c>
      <c r="D5" s="8"/>
      <c r="E5" s="8">
        <v>1.1000000000000001</v>
      </c>
      <c r="F5" s="9">
        <v>2</v>
      </c>
      <c r="G5" s="8">
        <v>1.4</v>
      </c>
      <c r="H5" s="8">
        <v>1.4</v>
      </c>
      <c r="I5" s="8">
        <v>1.4</v>
      </c>
      <c r="J5" s="8">
        <v>1.4</v>
      </c>
      <c r="K5" s="25">
        <v>6</v>
      </c>
      <c r="L5" s="7">
        <v>25</v>
      </c>
      <c r="M5" s="26">
        <f>N5/8*L5</f>
        <v>1562.5</v>
      </c>
      <c r="N5" s="27">
        <v>500</v>
      </c>
      <c r="O5" s="27">
        <f>500+560</f>
        <v>1060</v>
      </c>
      <c r="P5" s="28">
        <f>K5*N5+M5+100</f>
        <v>4662.5</v>
      </c>
      <c r="Q5" s="28">
        <f>P5-O5</f>
        <v>3602.5</v>
      </c>
      <c r="R5" s="34">
        <v>2</v>
      </c>
      <c r="S5" s="2">
        <v>5500</v>
      </c>
    </row>
    <row r="6" spans="2:19" ht="12.95" customHeight="1">
      <c r="B6" s="57" t="s">
        <v>4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>
        <v>1</v>
      </c>
    </row>
    <row r="7" spans="2:19" ht="27.95" customHeight="1">
      <c r="B7" s="10"/>
      <c r="C7" s="11" t="s">
        <v>5</v>
      </c>
      <c r="D7" s="12">
        <v>46059</v>
      </c>
      <c r="E7" s="12">
        <v>46060</v>
      </c>
      <c r="F7" s="13">
        <v>46061</v>
      </c>
      <c r="G7" s="12">
        <v>46062</v>
      </c>
      <c r="H7" s="12">
        <v>46063</v>
      </c>
      <c r="I7" s="12">
        <v>46064</v>
      </c>
      <c r="J7" s="12">
        <v>46065</v>
      </c>
      <c r="K7" s="11" t="s">
        <v>90</v>
      </c>
      <c r="L7" s="11" t="s">
        <v>14</v>
      </c>
      <c r="M7" s="11" t="s">
        <v>15</v>
      </c>
      <c r="N7" s="11" t="s">
        <v>16</v>
      </c>
      <c r="O7" s="11" t="s">
        <v>91</v>
      </c>
      <c r="P7" s="11"/>
      <c r="Q7" s="11"/>
      <c r="R7" s="11" t="s">
        <v>17</v>
      </c>
    </row>
    <row r="8" spans="2:19" s="3" customFormat="1" ht="20.100000000000001" customHeight="1">
      <c r="B8" s="6">
        <v>3</v>
      </c>
      <c r="C8" s="7" t="s">
        <v>18</v>
      </c>
      <c r="D8" s="8">
        <v>1</v>
      </c>
      <c r="E8" s="8">
        <v>1</v>
      </c>
      <c r="F8" s="9"/>
      <c r="G8" s="8">
        <v>1</v>
      </c>
      <c r="H8" s="8">
        <v>1</v>
      </c>
      <c r="I8" s="8">
        <v>1</v>
      </c>
      <c r="J8" s="8">
        <v>1</v>
      </c>
      <c r="K8" s="25">
        <f>SUM(D8:J8)</f>
        <v>6</v>
      </c>
      <c r="L8" s="7"/>
      <c r="M8" s="26">
        <f t="shared" ref="M8:M52" si="0">N8/8*L8</f>
        <v>0</v>
      </c>
      <c r="N8" s="27">
        <v>350</v>
      </c>
      <c r="O8" s="27"/>
      <c r="P8" s="28">
        <f t="shared" ref="P8:P15" si="1">K8*N8+M8</f>
        <v>2100</v>
      </c>
      <c r="Q8" s="28">
        <f t="shared" ref="Q8:Q14" si="2">P8-O8</f>
        <v>2100</v>
      </c>
      <c r="R8" s="34">
        <v>3</v>
      </c>
    </row>
    <row r="9" spans="2:19" s="3" customFormat="1" ht="20.100000000000001" customHeight="1">
      <c r="B9" s="6">
        <v>4</v>
      </c>
      <c r="C9" s="7" t="s">
        <v>19</v>
      </c>
      <c r="D9" s="8">
        <v>0.3</v>
      </c>
      <c r="E9" s="8"/>
      <c r="F9" s="9"/>
      <c r="G9" s="8">
        <v>1.4</v>
      </c>
      <c r="H9" s="8">
        <v>1.4</v>
      </c>
      <c r="I9" s="8">
        <v>1.4</v>
      </c>
      <c r="J9" s="8">
        <v>1.4</v>
      </c>
      <c r="K9" s="25">
        <v>4</v>
      </c>
      <c r="L9" s="7">
        <v>19</v>
      </c>
      <c r="M9" s="26">
        <f t="shared" si="0"/>
        <v>950</v>
      </c>
      <c r="N9" s="27">
        <v>400</v>
      </c>
      <c r="O9" s="27"/>
      <c r="P9" s="28">
        <f t="shared" si="1"/>
        <v>2550</v>
      </c>
      <c r="Q9" s="28">
        <f t="shared" si="2"/>
        <v>2550</v>
      </c>
      <c r="R9" s="34">
        <v>4</v>
      </c>
    </row>
    <row r="10" spans="2:19" ht="20.100000000000001" customHeight="1">
      <c r="B10" s="6">
        <v>5</v>
      </c>
      <c r="C10" s="7" t="s">
        <v>20</v>
      </c>
      <c r="D10" s="8">
        <v>1.4</v>
      </c>
      <c r="E10" s="8"/>
      <c r="F10" s="9"/>
      <c r="G10" s="8"/>
      <c r="H10" s="8"/>
      <c r="I10" s="8"/>
      <c r="J10" s="8">
        <v>1.3</v>
      </c>
      <c r="K10" s="25">
        <v>2</v>
      </c>
      <c r="L10" s="7">
        <v>7</v>
      </c>
      <c r="M10" s="26">
        <f t="shared" si="0"/>
        <v>350</v>
      </c>
      <c r="N10" s="27">
        <v>400</v>
      </c>
      <c r="O10" s="27"/>
      <c r="P10" s="28">
        <f t="shared" si="1"/>
        <v>1150</v>
      </c>
      <c r="Q10" s="28">
        <f t="shared" si="2"/>
        <v>1150</v>
      </c>
      <c r="R10" s="34">
        <v>5</v>
      </c>
    </row>
    <row r="11" spans="2:19" s="3" customFormat="1" ht="20.100000000000001" customHeight="1">
      <c r="B11" s="6">
        <v>6</v>
      </c>
      <c r="C11" s="7" t="s">
        <v>22</v>
      </c>
      <c r="D11" s="8">
        <v>2</v>
      </c>
      <c r="E11" s="8">
        <v>0.6</v>
      </c>
      <c r="F11" s="9"/>
      <c r="G11" s="8"/>
      <c r="H11" s="8">
        <v>1.7</v>
      </c>
      <c r="I11" s="8">
        <v>1.4</v>
      </c>
      <c r="J11" s="8">
        <v>1.4</v>
      </c>
      <c r="K11" s="25">
        <v>4</v>
      </c>
      <c r="L11" s="7">
        <v>29</v>
      </c>
      <c r="M11" s="26">
        <f t="shared" si="0"/>
        <v>1450</v>
      </c>
      <c r="N11" s="26">
        <v>400</v>
      </c>
      <c r="O11" s="26"/>
      <c r="P11" s="28">
        <f t="shared" si="1"/>
        <v>3050</v>
      </c>
      <c r="Q11" s="28">
        <f t="shared" si="2"/>
        <v>3050</v>
      </c>
      <c r="R11" s="34">
        <v>6</v>
      </c>
    </row>
    <row r="12" spans="2:19" s="3" customFormat="1" ht="20.100000000000001" customHeight="1">
      <c r="B12" s="6">
        <v>7</v>
      </c>
      <c r="C12" s="14" t="s">
        <v>23</v>
      </c>
      <c r="D12" s="8">
        <v>1.4</v>
      </c>
      <c r="E12" s="8">
        <v>0.6</v>
      </c>
      <c r="F12" s="9"/>
      <c r="G12" s="8">
        <v>0.4</v>
      </c>
      <c r="H12" s="8">
        <v>1.4</v>
      </c>
      <c r="I12" s="8">
        <v>1.4</v>
      </c>
      <c r="J12" s="8">
        <v>1</v>
      </c>
      <c r="K12" s="25">
        <v>4</v>
      </c>
      <c r="L12" s="7">
        <v>22</v>
      </c>
      <c r="M12" s="26">
        <f t="shared" si="0"/>
        <v>1100</v>
      </c>
      <c r="N12" s="26">
        <v>400</v>
      </c>
      <c r="O12" s="26"/>
      <c r="P12" s="28">
        <f t="shared" si="1"/>
        <v>2700</v>
      </c>
      <c r="Q12" s="28">
        <f t="shared" si="2"/>
        <v>2700</v>
      </c>
      <c r="R12" s="34">
        <v>7</v>
      </c>
    </row>
    <row r="13" spans="2:19" ht="20.100000000000001" customHeight="1">
      <c r="B13" s="6">
        <v>8</v>
      </c>
      <c r="C13" s="14" t="s">
        <v>26</v>
      </c>
      <c r="D13" s="8">
        <v>1</v>
      </c>
      <c r="E13" s="8">
        <v>1</v>
      </c>
      <c r="F13" s="9"/>
      <c r="G13" s="8">
        <v>1</v>
      </c>
      <c r="H13" s="8">
        <v>1</v>
      </c>
      <c r="I13" s="8">
        <v>1</v>
      </c>
      <c r="J13" s="8">
        <v>1</v>
      </c>
      <c r="K13" s="25">
        <f>SUM(D13:J13)</f>
        <v>6</v>
      </c>
      <c r="L13" s="7"/>
      <c r="M13" s="26">
        <f t="shared" si="0"/>
        <v>0</v>
      </c>
      <c r="N13" s="27">
        <v>400</v>
      </c>
      <c r="O13" s="27"/>
      <c r="P13" s="28">
        <f t="shared" si="1"/>
        <v>2400</v>
      </c>
      <c r="Q13" s="28">
        <f t="shared" si="2"/>
        <v>2400</v>
      </c>
      <c r="R13" s="34">
        <v>8</v>
      </c>
    </row>
    <row r="14" spans="2:19" ht="20.100000000000001" customHeight="1">
      <c r="B14" s="6">
        <v>9</v>
      </c>
      <c r="C14" s="14" t="s">
        <v>27</v>
      </c>
      <c r="D14" s="8"/>
      <c r="E14" s="8">
        <v>1.3</v>
      </c>
      <c r="F14" s="9"/>
      <c r="G14" s="8"/>
      <c r="H14" s="8">
        <v>1.4</v>
      </c>
      <c r="I14" s="8">
        <v>1.4</v>
      </c>
      <c r="J14" s="8">
        <v>1.4</v>
      </c>
      <c r="K14" s="25">
        <v>4</v>
      </c>
      <c r="L14" s="7">
        <v>15</v>
      </c>
      <c r="M14" s="26">
        <f t="shared" si="0"/>
        <v>750</v>
      </c>
      <c r="N14" s="27">
        <v>400</v>
      </c>
      <c r="O14" s="27"/>
      <c r="P14" s="28">
        <f t="shared" si="1"/>
        <v>2350</v>
      </c>
      <c r="Q14" s="28">
        <f t="shared" si="2"/>
        <v>2350</v>
      </c>
      <c r="R14" s="34">
        <v>9</v>
      </c>
    </row>
    <row r="15" spans="2:19" ht="20.100000000000001" customHeight="1">
      <c r="B15" s="6">
        <v>10</v>
      </c>
      <c r="C15" s="15" t="s">
        <v>28</v>
      </c>
      <c r="D15" s="8"/>
      <c r="E15" s="8"/>
      <c r="F15" s="9"/>
      <c r="G15" s="8">
        <v>2</v>
      </c>
      <c r="H15" s="8">
        <v>1</v>
      </c>
      <c r="I15" s="8">
        <v>2</v>
      </c>
      <c r="J15" s="8">
        <v>1</v>
      </c>
      <c r="K15" s="25">
        <f>SUM(D15:J15)</f>
        <v>6</v>
      </c>
      <c r="L15" s="7"/>
      <c r="M15" s="26">
        <f t="shared" si="0"/>
        <v>0</v>
      </c>
      <c r="N15" s="26">
        <v>400</v>
      </c>
      <c r="O15" s="26"/>
      <c r="P15" s="28">
        <f t="shared" si="1"/>
        <v>2400</v>
      </c>
      <c r="Q15" s="28">
        <f t="shared" ref="Q15:Q52" si="3">P15-O15</f>
        <v>2400</v>
      </c>
      <c r="R15" s="34">
        <v>10</v>
      </c>
    </row>
    <row r="16" spans="2:19" ht="20.100000000000001" customHeight="1">
      <c r="B16" s="6">
        <v>11</v>
      </c>
      <c r="C16" s="7" t="s">
        <v>30</v>
      </c>
      <c r="D16" s="8">
        <v>1</v>
      </c>
      <c r="E16" s="8"/>
      <c r="F16" s="9">
        <v>1</v>
      </c>
      <c r="G16" s="8">
        <v>1</v>
      </c>
      <c r="H16" s="8">
        <v>1</v>
      </c>
      <c r="I16" s="8">
        <v>1</v>
      </c>
      <c r="J16" s="8">
        <v>1</v>
      </c>
      <c r="K16" s="25">
        <f>SUM(D16:J16)</f>
        <v>6</v>
      </c>
      <c r="L16" s="7"/>
      <c r="M16" s="26">
        <f t="shared" si="0"/>
        <v>0</v>
      </c>
      <c r="N16" s="26">
        <v>400</v>
      </c>
      <c r="O16" s="26"/>
      <c r="P16" s="28">
        <f>K16*N16+M16+50</f>
        <v>2450</v>
      </c>
      <c r="Q16" s="28">
        <f t="shared" si="3"/>
        <v>2450</v>
      </c>
      <c r="R16" s="34">
        <v>11</v>
      </c>
    </row>
    <row r="17" spans="2:18" ht="20.100000000000001" customHeight="1">
      <c r="B17" s="6">
        <v>12</v>
      </c>
      <c r="C17" s="7" t="s">
        <v>31</v>
      </c>
      <c r="D17" s="8"/>
      <c r="E17" s="8">
        <v>2.2000000000000002</v>
      </c>
      <c r="F17" s="9">
        <v>1</v>
      </c>
      <c r="G17" s="8">
        <v>1</v>
      </c>
      <c r="H17" s="8">
        <v>2</v>
      </c>
      <c r="I17" s="8">
        <v>2</v>
      </c>
      <c r="J17" s="8">
        <v>2</v>
      </c>
      <c r="K17" s="25">
        <v>6</v>
      </c>
      <c r="L17" s="7">
        <v>34</v>
      </c>
      <c r="M17" s="26">
        <f t="shared" si="0"/>
        <v>1700</v>
      </c>
      <c r="N17" s="26">
        <v>400</v>
      </c>
      <c r="O17" s="26"/>
      <c r="P17" s="28">
        <f>K17*N17+M17+50</f>
        <v>4150</v>
      </c>
      <c r="Q17" s="28">
        <f t="shared" si="3"/>
        <v>4150</v>
      </c>
      <c r="R17" s="34">
        <v>12</v>
      </c>
    </row>
    <row r="18" spans="2:18" ht="20.100000000000001" customHeight="1">
      <c r="B18" s="6">
        <v>13</v>
      </c>
      <c r="C18" s="7" t="s">
        <v>32</v>
      </c>
      <c r="D18" s="8"/>
      <c r="E18" s="8">
        <v>1.1000000000000001</v>
      </c>
      <c r="F18" s="9"/>
      <c r="G18" s="8">
        <v>1.4</v>
      </c>
      <c r="H18" s="8">
        <v>1.4</v>
      </c>
      <c r="I18" s="8">
        <v>1.4</v>
      </c>
      <c r="J18" s="8"/>
      <c r="K18" s="25">
        <v>4</v>
      </c>
      <c r="L18" s="7">
        <v>13</v>
      </c>
      <c r="M18" s="26">
        <f t="shared" si="0"/>
        <v>650</v>
      </c>
      <c r="N18" s="27">
        <v>400</v>
      </c>
      <c r="O18" s="27"/>
      <c r="P18" s="28">
        <f>K18*N18+M18</f>
        <v>2250</v>
      </c>
      <c r="Q18" s="28">
        <f t="shared" si="3"/>
        <v>2250</v>
      </c>
      <c r="R18" s="34">
        <v>13</v>
      </c>
    </row>
    <row r="19" spans="2:18" ht="20.100000000000001" customHeight="1">
      <c r="B19" s="6">
        <v>14</v>
      </c>
      <c r="C19" s="7" t="s">
        <v>33</v>
      </c>
      <c r="D19" s="8">
        <v>1</v>
      </c>
      <c r="E19" s="8"/>
      <c r="F19" s="9">
        <v>1</v>
      </c>
      <c r="G19" s="8">
        <v>1</v>
      </c>
      <c r="H19" s="8">
        <v>2</v>
      </c>
      <c r="I19" s="8">
        <v>2</v>
      </c>
      <c r="J19" s="8">
        <v>1</v>
      </c>
      <c r="K19" s="25">
        <v>6</v>
      </c>
      <c r="L19" s="7">
        <v>16</v>
      </c>
      <c r="M19" s="26">
        <f t="shared" si="0"/>
        <v>800</v>
      </c>
      <c r="N19" s="26">
        <v>400</v>
      </c>
      <c r="O19" s="26"/>
      <c r="P19" s="28">
        <f t="shared" ref="P19:P26" si="4">K19*N19+M19+50</f>
        <v>3250</v>
      </c>
      <c r="Q19" s="28">
        <f t="shared" si="3"/>
        <v>3250</v>
      </c>
      <c r="R19" s="34">
        <v>14</v>
      </c>
    </row>
    <row r="20" spans="2:18" ht="20.100000000000001" customHeight="1">
      <c r="B20" s="6">
        <v>15</v>
      </c>
      <c r="C20" s="7" t="s">
        <v>34</v>
      </c>
      <c r="D20" s="8">
        <v>1</v>
      </c>
      <c r="E20" s="8"/>
      <c r="F20" s="9">
        <v>1</v>
      </c>
      <c r="G20" s="8">
        <v>1</v>
      </c>
      <c r="H20" s="8">
        <v>1</v>
      </c>
      <c r="I20" s="8">
        <v>1</v>
      </c>
      <c r="J20" s="8">
        <v>1</v>
      </c>
      <c r="K20" s="25">
        <f>SUM(D20:J20)</f>
        <v>6</v>
      </c>
      <c r="L20" s="7"/>
      <c r="M20" s="26">
        <f t="shared" si="0"/>
        <v>0</v>
      </c>
      <c r="N20" s="27">
        <v>400</v>
      </c>
      <c r="O20" s="27"/>
      <c r="P20" s="28">
        <f t="shared" si="4"/>
        <v>2450</v>
      </c>
      <c r="Q20" s="28">
        <f t="shared" si="3"/>
        <v>2450</v>
      </c>
      <c r="R20" s="34">
        <v>15</v>
      </c>
    </row>
    <row r="21" spans="2:18" ht="20.100000000000001" customHeight="1">
      <c r="B21" s="6">
        <v>16</v>
      </c>
      <c r="C21" s="7" t="s">
        <v>35</v>
      </c>
      <c r="D21" s="8"/>
      <c r="E21" s="8">
        <v>1</v>
      </c>
      <c r="F21" s="9">
        <v>1.3</v>
      </c>
      <c r="G21" s="8">
        <v>1.3</v>
      </c>
      <c r="H21" s="8"/>
      <c r="I21" s="8"/>
      <c r="J21" s="8">
        <v>1.3</v>
      </c>
      <c r="K21" s="25">
        <v>4</v>
      </c>
      <c r="L21" s="7">
        <v>9</v>
      </c>
      <c r="M21" s="26">
        <f t="shared" si="0"/>
        <v>450</v>
      </c>
      <c r="N21" s="26">
        <v>400</v>
      </c>
      <c r="O21" s="26"/>
      <c r="P21" s="28">
        <f t="shared" si="4"/>
        <v>2100</v>
      </c>
      <c r="Q21" s="28">
        <f t="shared" si="3"/>
        <v>2100</v>
      </c>
      <c r="R21" s="34">
        <v>16</v>
      </c>
    </row>
    <row r="22" spans="2:18" ht="20.100000000000001" customHeight="1">
      <c r="B22" s="6">
        <v>17</v>
      </c>
      <c r="C22" s="7" t="s">
        <v>40</v>
      </c>
      <c r="D22" s="8">
        <v>1</v>
      </c>
      <c r="E22" s="8">
        <v>0.7</v>
      </c>
      <c r="F22" s="9">
        <v>1</v>
      </c>
      <c r="G22" s="8">
        <v>1</v>
      </c>
      <c r="H22" s="8">
        <v>1</v>
      </c>
      <c r="I22" s="8">
        <v>1</v>
      </c>
      <c r="J22" s="8">
        <v>1</v>
      </c>
      <c r="K22" s="25">
        <v>6</v>
      </c>
      <c r="L22" s="7">
        <v>7</v>
      </c>
      <c r="M22" s="26">
        <f t="shared" si="0"/>
        <v>350</v>
      </c>
      <c r="N22" s="26">
        <v>400</v>
      </c>
      <c r="O22" s="26"/>
      <c r="P22" s="28">
        <f t="shared" si="4"/>
        <v>2800</v>
      </c>
      <c r="Q22" s="28">
        <f t="shared" si="3"/>
        <v>2800</v>
      </c>
      <c r="R22" s="34">
        <v>17</v>
      </c>
    </row>
    <row r="23" spans="2:18" ht="20.100000000000001" customHeight="1">
      <c r="B23" s="6">
        <v>18</v>
      </c>
      <c r="C23" s="7" t="s">
        <v>37</v>
      </c>
      <c r="D23" s="8">
        <v>2</v>
      </c>
      <c r="E23" s="8">
        <v>1</v>
      </c>
      <c r="F23" s="9">
        <v>1.4</v>
      </c>
      <c r="G23" s="8">
        <v>2</v>
      </c>
      <c r="H23" s="8">
        <v>2</v>
      </c>
      <c r="I23" s="8">
        <v>2</v>
      </c>
      <c r="J23" s="8">
        <v>1</v>
      </c>
      <c r="K23" s="25">
        <v>7</v>
      </c>
      <c r="L23" s="7">
        <v>36</v>
      </c>
      <c r="M23" s="26">
        <f t="shared" si="0"/>
        <v>1800</v>
      </c>
      <c r="N23" s="26">
        <v>400</v>
      </c>
      <c r="O23" s="26"/>
      <c r="P23" s="28">
        <f t="shared" si="4"/>
        <v>4650</v>
      </c>
      <c r="Q23" s="28">
        <f t="shared" si="3"/>
        <v>4650</v>
      </c>
      <c r="R23" s="34">
        <v>18</v>
      </c>
    </row>
    <row r="24" spans="2:18" ht="20.100000000000001" customHeight="1">
      <c r="B24" s="6">
        <v>19</v>
      </c>
      <c r="C24" s="7" t="s">
        <v>38</v>
      </c>
      <c r="D24" s="8">
        <v>1</v>
      </c>
      <c r="E24" s="8">
        <v>1</v>
      </c>
      <c r="F24" s="9">
        <v>1</v>
      </c>
      <c r="G24" s="8">
        <v>1</v>
      </c>
      <c r="H24" s="8"/>
      <c r="I24" s="8">
        <v>1</v>
      </c>
      <c r="J24" s="8">
        <v>1</v>
      </c>
      <c r="K24" s="25">
        <f>SUM(D24:J24)</f>
        <v>6</v>
      </c>
      <c r="L24" s="7"/>
      <c r="M24" s="26">
        <f t="shared" si="0"/>
        <v>0</v>
      </c>
      <c r="N24" s="26">
        <v>400</v>
      </c>
      <c r="O24" s="29"/>
      <c r="P24" s="28">
        <f t="shared" si="4"/>
        <v>2450</v>
      </c>
      <c r="Q24" s="28">
        <f t="shared" si="3"/>
        <v>2450</v>
      </c>
      <c r="R24" s="34">
        <v>19</v>
      </c>
    </row>
    <row r="25" spans="2:18" ht="20.100000000000001" customHeight="1">
      <c r="B25" s="6">
        <v>20</v>
      </c>
      <c r="C25" s="14" t="s">
        <v>39</v>
      </c>
      <c r="D25" s="8">
        <v>1</v>
      </c>
      <c r="E25" s="8">
        <v>1</v>
      </c>
      <c r="F25" s="9">
        <v>1</v>
      </c>
      <c r="G25" s="8">
        <v>1</v>
      </c>
      <c r="H25" s="8">
        <v>2</v>
      </c>
      <c r="I25" s="8">
        <v>2</v>
      </c>
      <c r="J25" s="8">
        <v>2</v>
      </c>
      <c r="K25" s="25">
        <v>7</v>
      </c>
      <c r="L25" s="7">
        <v>24</v>
      </c>
      <c r="M25" s="26">
        <f t="shared" si="0"/>
        <v>1200</v>
      </c>
      <c r="N25" s="26">
        <v>400</v>
      </c>
      <c r="O25" s="29"/>
      <c r="P25" s="28">
        <f t="shared" si="4"/>
        <v>4050</v>
      </c>
      <c r="Q25" s="28">
        <f t="shared" si="3"/>
        <v>4050</v>
      </c>
      <c r="R25" s="34">
        <v>20</v>
      </c>
    </row>
    <row r="26" spans="2:18" ht="20.100000000000001" customHeight="1">
      <c r="B26" s="6">
        <v>21</v>
      </c>
      <c r="C26" s="7" t="s">
        <v>41</v>
      </c>
      <c r="D26" s="8">
        <v>1</v>
      </c>
      <c r="E26" s="8">
        <v>0.7</v>
      </c>
      <c r="F26" s="9">
        <v>1</v>
      </c>
      <c r="G26" s="8">
        <v>1</v>
      </c>
      <c r="H26" s="8">
        <v>1</v>
      </c>
      <c r="I26" s="8">
        <v>1</v>
      </c>
      <c r="J26" s="8">
        <v>1</v>
      </c>
      <c r="K26" s="25">
        <v>6</v>
      </c>
      <c r="L26" s="7">
        <v>7</v>
      </c>
      <c r="M26" s="26">
        <f t="shared" si="0"/>
        <v>350</v>
      </c>
      <c r="N26" s="26">
        <v>400</v>
      </c>
      <c r="O26" s="29"/>
      <c r="P26" s="28">
        <f t="shared" si="4"/>
        <v>2800</v>
      </c>
      <c r="Q26" s="28">
        <f t="shared" si="3"/>
        <v>2800</v>
      </c>
      <c r="R26" s="34">
        <v>21</v>
      </c>
    </row>
    <row r="27" spans="2:18" ht="20.100000000000001" customHeight="1">
      <c r="B27" s="6">
        <v>22</v>
      </c>
      <c r="C27" s="14" t="s">
        <v>44</v>
      </c>
      <c r="D27" s="8"/>
      <c r="E27" s="8"/>
      <c r="F27" s="9"/>
      <c r="G27" s="8"/>
      <c r="H27" s="8"/>
      <c r="I27" s="8"/>
      <c r="J27" s="8"/>
      <c r="K27" s="25">
        <f>SUM(D27:J27)</f>
        <v>0</v>
      </c>
      <c r="L27" s="7"/>
      <c r="M27" s="26">
        <f t="shared" si="0"/>
        <v>0</v>
      </c>
      <c r="N27" s="26">
        <v>400</v>
      </c>
      <c r="O27" s="29"/>
      <c r="P27" s="28">
        <f>K27*N27+M27</f>
        <v>0</v>
      </c>
      <c r="Q27" s="28">
        <f t="shared" si="3"/>
        <v>0</v>
      </c>
      <c r="R27" s="34">
        <v>22</v>
      </c>
    </row>
    <row r="28" spans="2:18" ht="20.100000000000001" customHeight="1">
      <c r="B28" s="6">
        <v>23</v>
      </c>
      <c r="C28" s="7" t="s">
        <v>45</v>
      </c>
      <c r="D28" s="8"/>
      <c r="E28" s="8">
        <v>0.4</v>
      </c>
      <c r="F28" s="9"/>
      <c r="G28" s="8">
        <v>0.4</v>
      </c>
      <c r="H28" s="8">
        <v>1.4</v>
      </c>
      <c r="I28" s="8">
        <v>1.4</v>
      </c>
      <c r="J28" s="8">
        <v>1</v>
      </c>
      <c r="K28" s="25">
        <v>3</v>
      </c>
      <c r="L28" s="7">
        <v>16</v>
      </c>
      <c r="M28" s="26">
        <f t="shared" si="0"/>
        <v>800</v>
      </c>
      <c r="N28" s="26">
        <v>400</v>
      </c>
      <c r="O28" s="29"/>
      <c r="P28" s="28">
        <f>K28*N28+M28</f>
        <v>2000</v>
      </c>
      <c r="Q28" s="28">
        <f t="shared" si="3"/>
        <v>2000</v>
      </c>
      <c r="R28" s="34">
        <v>23</v>
      </c>
    </row>
    <row r="29" spans="2:18" ht="20.100000000000001" customHeight="1">
      <c r="B29" s="6">
        <v>24</v>
      </c>
      <c r="C29" s="14" t="s">
        <v>46</v>
      </c>
      <c r="D29" s="8">
        <v>1.4</v>
      </c>
      <c r="E29" s="8">
        <v>0.6</v>
      </c>
      <c r="F29" s="9">
        <v>2</v>
      </c>
      <c r="G29" s="8">
        <v>0.4</v>
      </c>
      <c r="H29" s="8">
        <v>1.4</v>
      </c>
      <c r="I29" s="8">
        <v>1.4</v>
      </c>
      <c r="J29" s="8">
        <v>1.4</v>
      </c>
      <c r="K29" s="25">
        <v>5</v>
      </c>
      <c r="L29" s="7">
        <v>34</v>
      </c>
      <c r="M29" s="26">
        <f t="shared" si="0"/>
        <v>1700</v>
      </c>
      <c r="N29" s="26">
        <v>400</v>
      </c>
      <c r="O29" s="29"/>
      <c r="P29" s="28">
        <f>K29*N29+M29+100</f>
        <v>3800</v>
      </c>
      <c r="Q29" s="28">
        <f t="shared" si="3"/>
        <v>3800</v>
      </c>
      <c r="R29" s="34">
        <v>24</v>
      </c>
    </row>
    <row r="30" spans="2:18" ht="20.100000000000001" customHeight="1">
      <c r="B30" s="6">
        <v>25</v>
      </c>
      <c r="C30" s="7" t="s">
        <v>47</v>
      </c>
      <c r="D30" s="8">
        <v>1.4</v>
      </c>
      <c r="E30" s="8">
        <v>0.6</v>
      </c>
      <c r="F30" s="9"/>
      <c r="G30" s="8"/>
      <c r="H30" s="8"/>
      <c r="I30" s="8">
        <v>1.4</v>
      </c>
      <c r="J30" s="8">
        <v>1.4</v>
      </c>
      <c r="K30" s="25">
        <v>3</v>
      </c>
      <c r="L30" s="7">
        <v>18</v>
      </c>
      <c r="M30" s="26">
        <f t="shared" si="0"/>
        <v>900</v>
      </c>
      <c r="N30" s="26">
        <v>400</v>
      </c>
      <c r="O30" s="29"/>
      <c r="P30" s="28">
        <f>K30*N30+M30</f>
        <v>2100</v>
      </c>
      <c r="Q30" s="28">
        <f t="shared" si="3"/>
        <v>2100</v>
      </c>
      <c r="R30" s="34">
        <v>25</v>
      </c>
    </row>
    <row r="31" spans="2:18" ht="20.100000000000001" customHeight="1">
      <c r="B31" s="6">
        <v>26</v>
      </c>
      <c r="C31" s="7" t="s">
        <v>50</v>
      </c>
      <c r="D31" s="16">
        <v>1.4</v>
      </c>
      <c r="E31" s="16">
        <v>0.7</v>
      </c>
      <c r="F31" s="17">
        <v>1.4</v>
      </c>
      <c r="G31" s="16">
        <v>1.4</v>
      </c>
      <c r="H31" s="16"/>
      <c r="I31" s="16">
        <v>1.3</v>
      </c>
      <c r="J31" s="16">
        <v>1.4</v>
      </c>
      <c r="K31" s="25">
        <v>5</v>
      </c>
      <c r="L31" s="7">
        <v>26</v>
      </c>
      <c r="M31" s="26">
        <f t="shared" si="0"/>
        <v>1300</v>
      </c>
      <c r="N31" s="30">
        <v>400</v>
      </c>
      <c r="O31" s="31"/>
      <c r="P31" s="28">
        <f>K31*N31+M31+50</f>
        <v>3350</v>
      </c>
      <c r="Q31" s="28">
        <f t="shared" si="3"/>
        <v>3350</v>
      </c>
      <c r="R31" s="34">
        <v>26</v>
      </c>
    </row>
    <row r="32" spans="2:18" s="4" customFormat="1" ht="18.95" customHeight="1">
      <c r="B32" s="6">
        <v>27</v>
      </c>
      <c r="C32" s="18" t="s">
        <v>51</v>
      </c>
      <c r="D32" s="19">
        <v>1</v>
      </c>
      <c r="E32" s="20">
        <v>2</v>
      </c>
      <c r="F32" s="21">
        <v>2</v>
      </c>
      <c r="G32" s="20">
        <v>1</v>
      </c>
      <c r="H32" s="20">
        <v>1</v>
      </c>
      <c r="I32" s="20"/>
      <c r="J32" s="20">
        <v>1</v>
      </c>
      <c r="K32" s="25">
        <f>SUM(D32:J32)</f>
        <v>8</v>
      </c>
      <c r="L32" s="7"/>
      <c r="M32" s="26">
        <f t="shared" si="0"/>
        <v>0</v>
      </c>
      <c r="N32" s="30">
        <v>350</v>
      </c>
      <c r="O32" s="32"/>
      <c r="P32" s="28">
        <f>K32*N32+M32+100</f>
        <v>2900</v>
      </c>
      <c r="Q32" s="28">
        <f t="shared" si="3"/>
        <v>2900</v>
      </c>
      <c r="R32" s="34">
        <v>27</v>
      </c>
    </row>
    <row r="33" spans="2:18" s="4" customFormat="1" ht="18.95" customHeight="1">
      <c r="B33" s="6">
        <v>28</v>
      </c>
      <c r="C33" s="14" t="s">
        <v>52</v>
      </c>
      <c r="D33" s="22">
        <v>1</v>
      </c>
      <c r="E33" s="23">
        <v>0.7</v>
      </c>
      <c r="F33" s="24"/>
      <c r="G33" s="23"/>
      <c r="H33" s="23">
        <v>1</v>
      </c>
      <c r="I33" s="23">
        <v>1</v>
      </c>
      <c r="J33" s="23">
        <v>1</v>
      </c>
      <c r="K33" s="25">
        <v>4</v>
      </c>
      <c r="L33" s="7">
        <v>7</v>
      </c>
      <c r="M33" s="26">
        <f t="shared" si="0"/>
        <v>350</v>
      </c>
      <c r="N33" s="30">
        <v>400</v>
      </c>
      <c r="O33" s="32"/>
      <c r="P33" s="28">
        <f>K33*N33+M33</f>
        <v>1950</v>
      </c>
      <c r="Q33" s="28">
        <f t="shared" si="3"/>
        <v>1950</v>
      </c>
      <c r="R33" s="34">
        <v>28</v>
      </c>
    </row>
    <row r="34" spans="2:18" s="4" customFormat="1" ht="18.95" customHeight="1">
      <c r="B34" s="6">
        <v>29</v>
      </c>
      <c r="C34" s="15" t="s">
        <v>53</v>
      </c>
      <c r="D34" s="22">
        <v>1.3</v>
      </c>
      <c r="E34" s="23">
        <v>1.3</v>
      </c>
      <c r="F34" s="24">
        <v>1.3</v>
      </c>
      <c r="G34" s="23">
        <v>2</v>
      </c>
      <c r="H34" s="23">
        <v>1.3</v>
      </c>
      <c r="I34" s="23">
        <v>1.3</v>
      </c>
      <c r="J34" s="23">
        <v>1.3</v>
      </c>
      <c r="K34" s="25">
        <v>7</v>
      </c>
      <c r="L34" s="7">
        <v>26</v>
      </c>
      <c r="M34" s="26">
        <f t="shared" si="0"/>
        <v>1137.5</v>
      </c>
      <c r="N34" s="30">
        <v>350</v>
      </c>
      <c r="O34" s="32"/>
      <c r="P34" s="28">
        <f>K34*N34+M34+50</f>
        <v>3637.5</v>
      </c>
      <c r="Q34" s="28">
        <f t="shared" si="3"/>
        <v>3637.5</v>
      </c>
      <c r="R34" s="34">
        <v>29</v>
      </c>
    </row>
    <row r="35" spans="2:18" s="4" customFormat="1" ht="18.95" customHeight="1">
      <c r="B35" s="6">
        <v>30</v>
      </c>
      <c r="C35" s="15" t="s">
        <v>55</v>
      </c>
      <c r="D35" s="22">
        <v>1</v>
      </c>
      <c r="E35" s="23">
        <v>1</v>
      </c>
      <c r="F35" s="24"/>
      <c r="G35" s="23">
        <v>1</v>
      </c>
      <c r="H35" s="23">
        <v>1</v>
      </c>
      <c r="I35" s="23">
        <v>1</v>
      </c>
      <c r="J35" s="23">
        <v>1</v>
      </c>
      <c r="K35" s="25">
        <f>SUM(D35:J35)</f>
        <v>6</v>
      </c>
      <c r="L35" s="7"/>
      <c r="M35" s="26">
        <f t="shared" si="0"/>
        <v>0</v>
      </c>
      <c r="N35" s="30">
        <v>400</v>
      </c>
      <c r="O35" s="32"/>
      <c r="P35" s="28">
        <f>K35*N35+M35</f>
        <v>2400</v>
      </c>
      <c r="Q35" s="28">
        <f t="shared" si="3"/>
        <v>2400</v>
      </c>
      <c r="R35" s="34">
        <v>30</v>
      </c>
    </row>
    <row r="36" spans="2:18" s="4" customFormat="1" ht="18.95" customHeight="1">
      <c r="B36" s="6">
        <v>31</v>
      </c>
      <c r="C36" s="7" t="s">
        <v>59</v>
      </c>
      <c r="D36" s="22">
        <v>1</v>
      </c>
      <c r="E36" s="23">
        <v>1</v>
      </c>
      <c r="F36" s="24"/>
      <c r="G36" s="23">
        <v>1</v>
      </c>
      <c r="H36" s="23">
        <v>1</v>
      </c>
      <c r="I36" s="23">
        <v>1</v>
      </c>
      <c r="J36" s="23">
        <v>1</v>
      </c>
      <c r="K36" s="25">
        <f>SUM(D36:J36)</f>
        <v>6</v>
      </c>
      <c r="L36" s="7"/>
      <c r="M36" s="26">
        <f t="shared" si="0"/>
        <v>0</v>
      </c>
      <c r="N36" s="30">
        <v>400</v>
      </c>
      <c r="O36" s="32"/>
      <c r="P36" s="28">
        <f>K36*N36+M36</f>
        <v>2400</v>
      </c>
      <c r="Q36" s="28">
        <f t="shared" si="3"/>
        <v>2400</v>
      </c>
      <c r="R36" s="34">
        <v>31</v>
      </c>
    </row>
    <row r="37" spans="2:18" s="4" customFormat="1" ht="18.95" customHeight="1">
      <c r="B37" s="6">
        <v>32</v>
      </c>
      <c r="C37" s="7" t="s">
        <v>60</v>
      </c>
      <c r="D37" s="22">
        <v>0.4</v>
      </c>
      <c r="E37" s="23">
        <v>1</v>
      </c>
      <c r="F37" s="24"/>
      <c r="G37" s="23">
        <v>1.4</v>
      </c>
      <c r="H37" s="23">
        <v>1.4</v>
      </c>
      <c r="I37" s="23">
        <v>1.4</v>
      </c>
      <c r="J37" s="23">
        <v>1.4</v>
      </c>
      <c r="K37" s="25">
        <v>5</v>
      </c>
      <c r="L37" s="7">
        <v>20</v>
      </c>
      <c r="M37" s="26">
        <f t="shared" si="0"/>
        <v>1000</v>
      </c>
      <c r="N37" s="30">
        <v>400</v>
      </c>
      <c r="O37" s="32"/>
      <c r="P37" s="28">
        <f>K37*N37+M37</f>
        <v>3000</v>
      </c>
      <c r="Q37" s="28">
        <f t="shared" si="3"/>
        <v>3000</v>
      </c>
      <c r="R37" s="34">
        <v>32</v>
      </c>
    </row>
    <row r="38" spans="2:18" s="4" customFormat="1" ht="18.95" customHeight="1">
      <c r="B38" s="6">
        <v>33</v>
      </c>
      <c r="C38" s="7" t="s">
        <v>63</v>
      </c>
      <c r="D38" s="22">
        <v>1.4</v>
      </c>
      <c r="E38" s="23"/>
      <c r="F38" s="24"/>
      <c r="G38" s="23">
        <v>1.3</v>
      </c>
      <c r="H38" s="23">
        <v>1.3</v>
      </c>
      <c r="I38" s="23">
        <v>1.3</v>
      </c>
      <c r="J38" s="23">
        <v>1.3</v>
      </c>
      <c r="K38" s="25">
        <v>5</v>
      </c>
      <c r="L38" s="7">
        <v>16</v>
      </c>
      <c r="M38" s="26">
        <f t="shared" si="0"/>
        <v>800</v>
      </c>
      <c r="N38" s="30">
        <v>400</v>
      </c>
      <c r="O38" s="32"/>
      <c r="P38" s="28">
        <f>K38*N38+M38</f>
        <v>2800</v>
      </c>
      <c r="Q38" s="28">
        <f t="shared" si="3"/>
        <v>2800</v>
      </c>
      <c r="R38" s="34">
        <v>33</v>
      </c>
    </row>
    <row r="39" spans="2:18" s="4" customFormat="1" ht="18.95" customHeight="1">
      <c r="B39" s="6">
        <v>34</v>
      </c>
      <c r="C39" s="15" t="s">
        <v>62</v>
      </c>
      <c r="D39" s="22"/>
      <c r="E39" s="23"/>
      <c r="F39" s="24">
        <v>1.4</v>
      </c>
      <c r="G39" s="23">
        <v>1.4</v>
      </c>
      <c r="H39" s="23"/>
      <c r="I39" s="23">
        <v>1.4</v>
      </c>
      <c r="J39" s="23">
        <v>1.4</v>
      </c>
      <c r="K39" s="25">
        <v>4</v>
      </c>
      <c r="L39" s="7">
        <v>16</v>
      </c>
      <c r="M39" s="26">
        <f t="shared" si="0"/>
        <v>800</v>
      </c>
      <c r="N39" s="30">
        <v>400</v>
      </c>
      <c r="O39" s="32"/>
      <c r="P39" s="28">
        <f>K39*N39+M39+50</f>
        <v>2450</v>
      </c>
      <c r="Q39" s="28">
        <f t="shared" si="3"/>
        <v>2450</v>
      </c>
      <c r="R39" s="34">
        <v>34</v>
      </c>
    </row>
    <row r="40" spans="2:18" s="4" customFormat="1" ht="18.95" customHeight="1">
      <c r="B40" s="6">
        <v>35</v>
      </c>
      <c r="C40" s="14" t="s">
        <v>64</v>
      </c>
      <c r="D40" s="22">
        <v>1.3</v>
      </c>
      <c r="E40" s="23">
        <v>1.3</v>
      </c>
      <c r="F40" s="24">
        <v>1.3</v>
      </c>
      <c r="G40" s="23">
        <v>1.3</v>
      </c>
      <c r="H40" s="23">
        <v>1.3</v>
      </c>
      <c r="I40" s="23">
        <v>1.3</v>
      </c>
      <c r="J40" s="23">
        <v>1.3</v>
      </c>
      <c r="K40" s="25">
        <v>7</v>
      </c>
      <c r="L40" s="7">
        <v>21</v>
      </c>
      <c r="M40" s="26">
        <f t="shared" si="0"/>
        <v>1443.75</v>
      </c>
      <c r="N40" s="30">
        <v>550</v>
      </c>
      <c r="O40" s="32"/>
      <c r="P40" s="28">
        <f>K40*N40+M40+50</f>
        <v>5343.75</v>
      </c>
      <c r="Q40" s="28">
        <f t="shared" si="3"/>
        <v>5343.75</v>
      </c>
      <c r="R40" s="34">
        <v>35</v>
      </c>
    </row>
    <row r="41" spans="2:18" s="4" customFormat="1" ht="18.95" customHeight="1">
      <c r="B41" s="6">
        <v>36</v>
      </c>
      <c r="C41" s="7" t="s">
        <v>58</v>
      </c>
      <c r="D41" s="22"/>
      <c r="E41" s="23">
        <v>1</v>
      </c>
      <c r="F41" s="24">
        <v>2</v>
      </c>
      <c r="G41" s="23">
        <v>1</v>
      </c>
      <c r="H41" s="23">
        <v>2</v>
      </c>
      <c r="I41" s="23">
        <v>2</v>
      </c>
      <c r="J41" s="23">
        <v>2</v>
      </c>
      <c r="K41" s="25">
        <v>6</v>
      </c>
      <c r="L41" s="7">
        <v>32</v>
      </c>
      <c r="M41" s="26">
        <f t="shared" si="0"/>
        <v>1600</v>
      </c>
      <c r="N41" s="30">
        <v>400</v>
      </c>
      <c r="O41" s="32"/>
      <c r="P41" s="28">
        <f>K41*N41+M41+100</f>
        <v>4100</v>
      </c>
      <c r="Q41" s="28">
        <f t="shared" si="3"/>
        <v>4100</v>
      </c>
      <c r="R41" s="34">
        <v>36</v>
      </c>
    </row>
    <row r="42" spans="2:18" s="4" customFormat="1" ht="18.95" customHeight="1">
      <c r="B42" s="6">
        <v>37</v>
      </c>
      <c r="C42" s="7" t="s">
        <v>67</v>
      </c>
      <c r="D42" s="22"/>
      <c r="E42" s="23">
        <v>1</v>
      </c>
      <c r="F42" s="24"/>
      <c r="G42" s="23">
        <v>1</v>
      </c>
      <c r="H42" s="23">
        <v>1</v>
      </c>
      <c r="I42" s="23">
        <v>1</v>
      </c>
      <c r="J42" s="23">
        <v>1</v>
      </c>
      <c r="K42" s="25">
        <f>SUM(D42:J42)</f>
        <v>5</v>
      </c>
      <c r="L42" s="7"/>
      <c r="M42" s="26">
        <f t="shared" si="0"/>
        <v>0</v>
      </c>
      <c r="N42" s="30">
        <v>400</v>
      </c>
      <c r="O42" s="32"/>
      <c r="P42" s="28">
        <f>K42*N42+M42</f>
        <v>2000</v>
      </c>
      <c r="Q42" s="28">
        <f t="shared" si="3"/>
        <v>2000</v>
      </c>
      <c r="R42" s="34">
        <v>37</v>
      </c>
    </row>
    <row r="43" spans="2:18" s="4" customFormat="1" ht="18.95" customHeight="1">
      <c r="B43" s="6">
        <v>38</v>
      </c>
      <c r="C43" s="7" t="s">
        <v>65</v>
      </c>
      <c r="D43" s="22">
        <v>1.4</v>
      </c>
      <c r="E43" s="23">
        <v>1.4</v>
      </c>
      <c r="F43" s="24"/>
      <c r="G43" s="23">
        <v>1.4</v>
      </c>
      <c r="H43" s="23">
        <v>1.4</v>
      </c>
      <c r="I43" s="23">
        <v>0.4</v>
      </c>
      <c r="J43" s="23">
        <v>2</v>
      </c>
      <c r="K43" s="25">
        <v>5</v>
      </c>
      <c r="L43" s="7">
        <v>28</v>
      </c>
      <c r="M43" s="26">
        <f t="shared" si="0"/>
        <v>1400</v>
      </c>
      <c r="N43" s="30">
        <v>400</v>
      </c>
      <c r="O43" s="32"/>
      <c r="P43" s="28">
        <f>K43*N43+M43</f>
        <v>3400</v>
      </c>
      <c r="Q43" s="28">
        <f t="shared" si="3"/>
        <v>3400</v>
      </c>
      <c r="R43" s="34">
        <v>38</v>
      </c>
    </row>
    <row r="44" spans="2:18" s="4" customFormat="1" ht="18.95" customHeight="1">
      <c r="B44" s="6">
        <v>39</v>
      </c>
      <c r="C44" s="14" t="s">
        <v>68</v>
      </c>
      <c r="D44" s="22">
        <v>1</v>
      </c>
      <c r="E44" s="23"/>
      <c r="F44" s="24">
        <v>1</v>
      </c>
      <c r="G44" s="23">
        <v>1</v>
      </c>
      <c r="H44" s="23">
        <v>1</v>
      </c>
      <c r="I44" s="23">
        <v>1</v>
      </c>
      <c r="J44" s="23">
        <v>1</v>
      </c>
      <c r="K44" s="25">
        <f>SUM(D44:J44)</f>
        <v>6</v>
      </c>
      <c r="L44" s="7"/>
      <c r="M44" s="26">
        <f t="shared" si="0"/>
        <v>0</v>
      </c>
      <c r="N44" s="30">
        <v>400</v>
      </c>
      <c r="O44" s="32"/>
      <c r="P44" s="28">
        <f>K44*N44+M44+50</f>
        <v>2450</v>
      </c>
      <c r="Q44" s="28">
        <f t="shared" si="3"/>
        <v>2450</v>
      </c>
      <c r="R44" s="34">
        <v>39</v>
      </c>
    </row>
    <row r="45" spans="2:18" s="4" customFormat="1" ht="18.95" customHeight="1">
      <c r="B45" s="6">
        <v>40</v>
      </c>
      <c r="C45" s="14" t="s">
        <v>70</v>
      </c>
      <c r="D45" s="22">
        <v>1.4</v>
      </c>
      <c r="E45" s="23"/>
      <c r="F45" s="24"/>
      <c r="G45" s="23"/>
      <c r="H45" s="23"/>
      <c r="I45" s="23"/>
      <c r="J45" s="23">
        <v>0.4</v>
      </c>
      <c r="K45" s="25">
        <v>1</v>
      </c>
      <c r="L45" s="7">
        <v>8</v>
      </c>
      <c r="M45" s="26">
        <f t="shared" si="0"/>
        <v>400</v>
      </c>
      <c r="N45" s="30">
        <v>400</v>
      </c>
      <c r="O45" s="32"/>
      <c r="P45" s="28">
        <f t="shared" ref="P45:P52" si="5">K45*N45+M45</f>
        <v>800</v>
      </c>
      <c r="Q45" s="28">
        <f t="shared" si="3"/>
        <v>800</v>
      </c>
      <c r="R45" s="34">
        <v>40</v>
      </c>
    </row>
    <row r="46" spans="2:18" s="4" customFormat="1" ht="18.95" customHeight="1">
      <c r="B46" s="6">
        <v>41</v>
      </c>
      <c r="C46" s="14" t="s">
        <v>72</v>
      </c>
      <c r="D46" s="22"/>
      <c r="E46" s="23">
        <v>1</v>
      </c>
      <c r="F46" s="24">
        <v>0.6</v>
      </c>
      <c r="G46" s="23"/>
      <c r="H46" s="23">
        <v>1</v>
      </c>
      <c r="I46" s="23">
        <v>1</v>
      </c>
      <c r="J46" s="23">
        <v>1</v>
      </c>
      <c r="K46" s="25">
        <v>4</v>
      </c>
      <c r="L46" s="7">
        <v>6</v>
      </c>
      <c r="M46" s="26">
        <f t="shared" si="0"/>
        <v>300</v>
      </c>
      <c r="N46" s="30">
        <v>400</v>
      </c>
      <c r="O46" s="32"/>
      <c r="P46" s="28">
        <f t="shared" si="5"/>
        <v>1900</v>
      </c>
      <c r="Q46" s="28">
        <f t="shared" si="3"/>
        <v>1900</v>
      </c>
      <c r="R46" s="34">
        <v>41</v>
      </c>
    </row>
    <row r="47" spans="2:18" s="4" customFormat="1" ht="18.95" customHeight="1">
      <c r="B47" s="6">
        <v>42</v>
      </c>
      <c r="C47" s="14" t="s">
        <v>74</v>
      </c>
      <c r="D47" s="22"/>
      <c r="E47" s="23">
        <v>1</v>
      </c>
      <c r="F47" s="24"/>
      <c r="G47" s="23">
        <v>1</v>
      </c>
      <c r="H47" s="23">
        <v>1</v>
      </c>
      <c r="I47" s="23">
        <v>1</v>
      </c>
      <c r="J47" s="23">
        <v>1</v>
      </c>
      <c r="K47" s="25">
        <f>SUM(D47:J47)</f>
        <v>5</v>
      </c>
      <c r="L47" s="7"/>
      <c r="M47" s="26">
        <f t="shared" si="0"/>
        <v>0</v>
      </c>
      <c r="N47" s="30">
        <v>400</v>
      </c>
      <c r="O47" s="32"/>
      <c r="P47" s="28">
        <f t="shared" si="5"/>
        <v>2000</v>
      </c>
      <c r="Q47" s="28">
        <f t="shared" si="3"/>
        <v>2000</v>
      </c>
      <c r="R47" s="34">
        <v>42</v>
      </c>
    </row>
    <row r="48" spans="2:18" s="4" customFormat="1" ht="18.95" customHeight="1">
      <c r="B48" s="6">
        <v>43</v>
      </c>
      <c r="C48" s="14" t="s">
        <v>75</v>
      </c>
      <c r="D48" s="22"/>
      <c r="E48" s="23">
        <v>1</v>
      </c>
      <c r="F48" s="24"/>
      <c r="G48" s="23">
        <v>1.4</v>
      </c>
      <c r="H48" s="23">
        <v>1.4</v>
      </c>
      <c r="I48" s="23"/>
      <c r="J48" s="23">
        <v>1.4</v>
      </c>
      <c r="K48" s="25">
        <v>4</v>
      </c>
      <c r="L48" s="7">
        <v>12</v>
      </c>
      <c r="M48" s="26">
        <f t="shared" si="0"/>
        <v>600</v>
      </c>
      <c r="N48" s="30">
        <v>400</v>
      </c>
      <c r="O48" s="32"/>
      <c r="P48" s="28">
        <f t="shared" si="5"/>
        <v>2200</v>
      </c>
      <c r="Q48" s="28">
        <f t="shared" si="3"/>
        <v>2200</v>
      </c>
      <c r="R48" s="34">
        <v>43</v>
      </c>
    </row>
    <row r="49" spans="2:18" s="4" customFormat="1" ht="18.95" customHeight="1">
      <c r="B49" s="6">
        <v>44</v>
      </c>
      <c r="C49" s="14" t="s">
        <v>76</v>
      </c>
      <c r="D49" s="22">
        <v>1</v>
      </c>
      <c r="E49" s="23">
        <v>0.6</v>
      </c>
      <c r="F49" s="24">
        <v>3</v>
      </c>
      <c r="G49" s="23">
        <v>2</v>
      </c>
      <c r="H49" s="23">
        <v>1</v>
      </c>
      <c r="I49" s="23">
        <v>2</v>
      </c>
      <c r="J49" s="23">
        <v>1</v>
      </c>
      <c r="K49" s="25">
        <v>6</v>
      </c>
      <c r="L49" s="7">
        <v>38</v>
      </c>
      <c r="M49" s="26">
        <f t="shared" si="0"/>
        <v>1900</v>
      </c>
      <c r="N49" s="30">
        <v>400</v>
      </c>
      <c r="O49" s="32"/>
      <c r="P49" s="28">
        <f t="shared" si="5"/>
        <v>4300</v>
      </c>
      <c r="Q49" s="28">
        <f t="shared" si="3"/>
        <v>4300</v>
      </c>
      <c r="R49" s="34">
        <v>44</v>
      </c>
    </row>
    <row r="50" spans="2:18" s="4" customFormat="1" ht="18.95" customHeight="1">
      <c r="B50" s="6">
        <v>45</v>
      </c>
      <c r="C50" s="14" t="s">
        <v>24</v>
      </c>
      <c r="D50" s="22">
        <v>2</v>
      </c>
      <c r="E50" s="23">
        <v>1.4</v>
      </c>
      <c r="F50" s="24"/>
      <c r="G50" s="23">
        <v>1.4</v>
      </c>
      <c r="H50" s="23"/>
      <c r="I50" s="23">
        <v>1.4</v>
      </c>
      <c r="J50" s="23">
        <v>1.4</v>
      </c>
      <c r="K50" s="25">
        <v>5</v>
      </c>
      <c r="L50" s="7">
        <v>24</v>
      </c>
      <c r="M50" s="26">
        <f t="shared" si="0"/>
        <v>1200</v>
      </c>
      <c r="N50" s="30">
        <v>400</v>
      </c>
      <c r="O50" s="32"/>
      <c r="P50" s="28">
        <f t="shared" si="5"/>
        <v>3200</v>
      </c>
      <c r="Q50" s="28">
        <f t="shared" si="3"/>
        <v>3200</v>
      </c>
      <c r="R50" s="34">
        <v>45</v>
      </c>
    </row>
    <row r="51" spans="2:18" s="4" customFormat="1" ht="18.95" customHeight="1">
      <c r="B51" s="6">
        <v>46</v>
      </c>
      <c r="C51" s="14" t="s">
        <v>25</v>
      </c>
      <c r="D51" s="22"/>
      <c r="E51" s="23"/>
      <c r="F51" s="24"/>
      <c r="G51" s="23">
        <v>1</v>
      </c>
      <c r="H51" s="23">
        <v>1</v>
      </c>
      <c r="I51" s="23">
        <v>1</v>
      </c>
      <c r="J51" s="23">
        <v>1</v>
      </c>
      <c r="K51" s="25">
        <f>SUM(D51:J51)</f>
        <v>4</v>
      </c>
      <c r="L51" s="7"/>
      <c r="M51" s="26">
        <f t="shared" si="0"/>
        <v>0</v>
      </c>
      <c r="N51" s="30">
        <v>400</v>
      </c>
      <c r="O51" s="32"/>
      <c r="P51" s="28">
        <f t="shared" si="5"/>
        <v>1600</v>
      </c>
      <c r="Q51" s="28">
        <f t="shared" si="3"/>
        <v>1600</v>
      </c>
      <c r="R51" s="34">
        <v>46</v>
      </c>
    </row>
    <row r="52" spans="2:18" s="4" customFormat="1" ht="18.95" customHeight="1">
      <c r="B52" s="6">
        <v>47</v>
      </c>
      <c r="C52" s="14" t="s">
        <v>29</v>
      </c>
      <c r="D52" s="22"/>
      <c r="E52" s="23">
        <v>1.3</v>
      </c>
      <c r="F52" s="24"/>
      <c r="G52" s="23">
        <v>1.3</v>
      </c>
      <c r="H52" s="23">
        <v>1.3</v>
      </c>
      <c r="I52" s="23">
        <v>1.3</v>
      </c>
      <c r="J52" s="23">
        <v>1.3</v>
      </c>
      <c r="K52" s="25">
        <v>5</v>
      </c>
      <c r="L52" s="7">
        <v>15</v>
      </c>
      <c r="M52" s="26">
        <f t="shared" si="0"/>
        <v>750</v>
      </c>
      <c r="N52" s="30">
        <v>400</v>
      </c>
      <c r="O52" s="32"/>
      <c r="P52" s="28">
        <f t="shared" si="5"/>
        <v>2750</v>
      </c>
      <c r="Q52" s="28">
        <f t="shared" si="3"/>
        <v>2750</v>
      </c>
      <c r="R52" s="34">
        <v>47</v>
      </c>
    </row>
    <row r="53" spans="2:18" s="4" customFormat="1" ht="18.95" customHeight="1">
      <c r="B53" s="6">
        <v>48</v>
      </c>
      <c r="C53" s="14" t="s">
        <v>48</v>
      </c>
      <c r="D53" s="22"/>
      <c r="E53" s="23">
        <v>1.4</v>
      </c>
      <c r="F53" s="24">
        <v>1</v>
      </c>
      <c r="G53" s="23">
        <v>1.4</v>
      </c>
      <c r="H53" s="23"/>
      <c r="I53" s="23">
        <v>1.4</v>
      </c>
      <c r="J53" s="23">
        <v>1.4</v>
      </c>
      <c r="K53" s="25">
        <v>5</v>
      </c>
      <c r="L53" s="7">
        <v>16</v>
      </c>
      <c r="M53" s="26">
        <f t="shared" ref="M53:M67" si="6">N53/8*L53</f>
        <v>800</v>
      </c>
      <c r="N53" s="30">
        <v>400</v>
      </c>
      <c r="O53" s="32"/>
      <c r="P53" s="28">
        <f>K53*N53+M53+50</f>
        <v>2850</v>
      </c>
      <c r="Q53" s="28">
        <f t="shared" ref="Q53:Q67" si="7">P53-O53</f>
        <v>2850</v>
      </c>
      <c r="R53" s="34">
        <v>48</v>
      </c>
    </row>
    <row r="54" spans="2:18" s="4" customFormat="1" ht="18.95" customHeight="1">
      <c r="B54" s="6">
        <v>49</v>
      </c>
      <c r="C54" s="14" t="s">
        <v>49</v>
      </c>
      <c r="D54" s="22"/>
      <c r="E54" s="23">
        <v>1.3</v>
      </c>
      <c r="F54" s="24"/>
      <c r="G54" s="23">
        <v>1.3</v>
      </c>
      <c r="H54" s="23">
        <v>1.3</v>
      </c>
      <c r="I54" s="23">
        <v>1.3</v>
      </c>
      <c r="J54" s="23">
        <v>1.3</v>
      </c>
      <c r="K54" s="25">
        <v>5</v>
      </c>
      <c r="L54" s="7">
        <v>15</v>
      </c>
      <c r="M54" s="26">
        <f t="shared" si="6"/>
        <v>750</v>
      </c>
      <c r="N54" s="30">
        <v>400</v>
      </c>
      <c r="O54" s="32"/>
      <c r="P54" s="28">
        <f t="shared" ref="P54:P65" si="8">K54*N54+M54</f>
        <v>2750</v>
      </c>
      <c r="Q54" s="28">
        <f t="shared" si="7"/>
        <v>2750</v>
      </c>
      <c r="R54" s="34">
        <v>49</v>
      </c>
    </row>
    <row r="55" spans="2:18" s="4" customFormat="1" ht="18.95" customHeight="1">
      <c r="B55" s="6">
        <v>50</v>
      </c>
      <c r="C55" s="14" t="s">
        <v>66</v>
      </c>
      <c r="D55" s="22">
        <v>2</v>
      </c>
      <c r="E55" s="23">
        <v>1</v>
      </c>
      <c r="F55" s="24">
        <v>1.4</v>
      </c>
      <c r="G55" s="23">
        <v>1.4</v>
      </c>
      <c r="H55" s="23">
        <v>1.4</v>
      </c>
      <c r="I55" s="23">
        <v>1.4</v>
      </c>
      <c r="J55" s="23">
        <v>1.4</v>
      </c>
      <c r="K55" s="25">
        <v>7</v>
      </c>
      <c r="L55" s="7">
        <v>28</v>
      </c>
      <c r="M55" s="26">
        <f t="shared" si="6"/>
        <v>1400</v>
      </c>
      <c r="N55" s="30">
        <v>400</v>
      </c>
      <c r="O55" s="32"/>
      <c r="P55" s="28">
        <f>K55*N55+M55+50</f>
        <v>4250</v>
      </c>
      <c r="Q55" s="28">
        <f t="shared" si="7"/>
        <v>4250</v>
      </c>
      <c r="R55" s="34">
        <v>50</v>
      </c>
    </row>
    <row r="56" spans="2:18" s="4" customFormat="1" ht="18.95" customHeight="1">
      <c r="B56" s="6">
        <v>51</v>
      </c>
      <c r="C56" s="14" t="s">
        <v>61</v>
      </c>
      <c r="D56" s="22">
        <v>1.3</v>
      </c>
      <c r="E56" s="23"/>
      <c r="F56" s="24"/>
      <c r="G56" s="23">
        <v>1.3</v>
      </c>
      <c r="H56" s="23">
        <v>1.3</v>
      </c>
      <c r="I56" s="23">
        <v>1.3</v>
      </c>
      <c r="J56" s="23">
        <v>1.3</v>
      </c>
      <c r="K56" s="25">
        <v>5</v>
      </c>
      <c r="L56" s="7">
        <v>15</v>
      </c>
      <c r="M56" s="26">
        <f t="shared" si="6"/>
        <v>750</v>
      </c>
      <c r="N56" s="30">
        <v>400</v>
      </c>
      <c r="O56" s="32"/>
      <c r="P56" s="28">
        <f t="shared" si="8"/>
        <v>2750</v>
      </c>
      <c r="Q56" s="28">
        <f t="shared" si="7"/>
        <v>2750</v>
      </c>
      <c r="R56" s="34">
        <v>51</v>
      </c>
    </row>
    <row r="57" spans="2:18" s="4" customFormat="1" ht="18.95" customHeight="1">
      <c r="B57" s="6">
        <v>52</v>
      </c>
      <c r="C57" s="14" t="s">
        <v>71</v>
      </c>
      <c r="D57" s="22"/>
      <c r="E57" s="23"/>
      <c r="F57" s="24"/>
      <c r="G57" s="23">
        <v>2</v>
      </c>
      <c r="H57" s="23">
        <v>1</v>
      </c>
      <c r="I57" s="23">
        <v>1</v>
      </c>
      <c r="J57" s="23">
        <v>1.4</v>
      </c>
      <c r="K57" s="25">
        <v>4</v>
      </c>
      <c r="L57" s="7">
        <v>12</v>
      </c>
      <c r="M57" s="26">
        <f t="shared" si="6"/>
        <v>600</v>
      </c>
      <c r="N57" s="30">
        <v>400</v>
      </c>
      <c r="O57" s="32"/>
      <c r="P57" s="28">
        <f t="shared" si="8"/>
        <v>2200</v>
      </c>
      <c r="Q57" s="28">
        <f t="shared" si="7"/>
        <v>2200</v>
      </c>
      <c r="R57" s="34">
        <v>52</v>
      </c>
    </row>
    <row r="58" spans="2:18" s="4" customFormat="1" ht="18.95" customHeight="1">
      <c r="B58" s="6">
        <v>53</v>
      </c>
      <c r="C58" s="14" t="s">
        <v>73</v>
      </c>
      <c r="D58" s="22"/>
      <c r="E58" s="23">
        <v>1</v>
      </c>
      <c r="F58" s="24"/>
      <c r="G58" s="23">
        <v>1</v>
      </c>
      <c r="H58" s="23"/>
      <c r="I58" s="23"/>
      <c r="J58" s="23"/>
      <c r="K58" s="25">
        <f>SUM(D58:J58)</f>
        <v>2</v>
      </c>
      <c r="L58" s="7"/>
      <c r="M58" s="26">
        <f t="shared" si="6"/>
        <v>0</v>
      </c>
      <c r="N58" s="30">
        <v>400</v>
      </c>
      <c r="O58" s="32"/>
      <c r="P58" s="28">
        <f t="shared" si="8"/>
        <v>800</v>
      </c>
      <c r="Q58" s="28">
        <f t="shared" si="7"/>
        <v>800</v>
      </c>
      <c r="R58" s="34">
        <v>53</v>
      </c>
    </row>
    <row r="59" spans="2:18" s="4" customFormat="1" ht="18.95" customHeight="1">
      <c r="B59" s="6">
        <v>54</v>
      </c>
      <c r="C59" s="14" t="s">
        <v>92</v>
      </c>
      <c r="D59" s="22">
        <v>1</v>
      </c>
      <c r="E59" s="23">
        <v>1</v>
      </c>
      <c r="F59" s="24">
        <v>2</v>
      </c>
      <c r="G59" s="23">
        <v>2</v>
      </c>
      <c r="H59" s="23">
        <v>1.2</v>
      </c>
      <c r="I59" s="23">
        <v>2</v>
      </c>
      <c r="J59" s="23">
        <v>2</v>
      </c>
      <c r="K59" s="25">
        <v>7</v>
      </c>
      <c r="L59" s="7">
        <v>34</v>
      </c>
      <c r="M59" s="26">
        <f t="shared" si="6"/>
        <v>1700</v>
      </c>
      <c r="N59" s="30">
        <v>400</v>
      </c>
      <c r="O59" s="32"/>
      <c r="P59" s="28">
        <f>K59*N59+M59+100</f>
        <v>4600</v>
      </c>
      <c r="Q59" s="28">
        <f t="shared" si="7"/>
        <v>4600</v>
      </c>
      <c r="R59" s="34">
        <v>54</v>
      </c>
    </row>
    <row r="60" spans="2:18" s="4" customFormat="1" ht="18.95" customHeight="1">
      <c r="B60" s="6">
        <v>55</v>
      </c>
      <c r="C60" s="14" t="s">
        <v>21</v>
      </c>
      <c r="D60" s="22">
        <v>1.4</v>
      </c>
      <c r="E60" s="23"/>
      <c r="F60" s="24"/>
      <c r="G60" s="23">
        <v>1.4</v>
      </c>
      <c r="H60" s="23">
        <v>1.4</v>
      </c>
      <c r="I60" s="23">
        <v>1.4</v>
      </c>
      <c r="J60" s="23">
        <v>3</v>
      </c>
      <c r="K60" s="25">
        <v>5</v>
      </c>
      <c r="L60" s="7">
        <v>32</v>
      </c>
      <c r="M60" s="26">
        <f t="shared" si="6"/>
        <v>1600</v>
      </c>
      <c r="N60" s="30">
        <v>400</v>
      </c>
      <c r="O60" s="32"/>
      <c r="P60" s="28">
        <f t="shared" si="8"/>
        <v>3600</v>
      </c>
      <c r="Q60" s="28">
        <f t="shared" si="7"/>
        <v>3600</v>
      </c>
      <c r="R60" s="34">
        <v>55</v>
      </c>
    </row>
    <row r="61" spans="2:18" s="4" customFormat="1" ht="18.95" customHeight="1">
      <c r="B61" s="6">
        <v>56</v>
      </c>
      <c r="C61" s="14" t="s">
        <v>56</v>
      </c>
      <c r="D61" s="22"/>
      <c r="E61" s="23">
        <v>1.4</v>
      </c>
      <c r="F61" s="9">
        <v>0.3</v>
      </c>
      <c r="G61" s="23">
        <v>3</v>
      </c>
      <c r="H61" s="23">
        <v>1.4</v>
      </c>
      <c r="I61" s="23"/>
      <c r="J61" s="23">
        <v>1.4</v>
      </c>
      <c r="K61" s="25">
        <v>4</v>
      </c>
      <c r="L61" s="7">
        <v>31</v>
      </c>
      <c r="M61" s="26">
        <f t="shared" si="6"/>
        <v>1550</v>
      </c>
      <c r="N61" s="30">
        <v>400</v>
      </c>
      <c r="O61" s="32"/>
      <c r="P61" s="28">
        <f t="shared" si="8"/>
        <v>3150</v>
      </c>
      <c r="Q61" s="28">
        <f t="shared" si="7"/>
        <v>3150</v>
      </c>
      <c r="R61" s="34">
        <v>56</v>
      </c>
    </row>
    <row r="62" spans="2:18" s="4" customFormat="1" ht="18.95" customHeight="1">
      <c r="B62" s="6">
        <v>57</v>
      </c>
      <c r="C62" s="15" t="s">
        <v>36</v>
      </c>
      <c r="D62" s="26"/>
      <c r="E62" s="26"/>
      <c r="F62" s="35"/>
      <c r="G62" s="26">
        <v>0.6</v>
      </c>
      <c r="H62" s="26">
        <v>1.4</v>
      </c>
      <c r="I62" s="26">
        <v>1.4</v>
      </c>
      <c r="J62" s="26">
        <v>1.4</v>
      </c>
      <c r="K62" s="25">
        <v>3</v>
      </c>
      <c r="L62" s="7">
        <v>18</v>
      </c>
      <c r="M62" s="26">
        <f t="shared" si="6"/>
        <v>1125</v>
      </c>
      <c r="N62" s="30">
        <v>500</v>
      </c>
      <c r="O62" s="32"/>
      <c r="P62" s="28">
        <f t="shared" si="8"/>
        <v>2625</v>
      </c>
      <c r="Q62" s="28">
        <f t="shared" si="7"/>
        <v>2625</v>
      </c>
      <c r="R62" s="34">
        <v>57</v>
      </c>
    </row>
    <row r="63" spans="2:18" s="4" customFormat="1" ht="18.95" customHeight="1">
      <c r="B63" s="6">
        <v>58</v>
      </c>
      <c r="C63" s="15" t="s">
        <v>42</v>
      </c>
      <c r="D63" s="26">
        <v>1.4</v>
      </c>
      <c r="E63" s="26">
        <v>1.4</v>
      </c>
      <c r="F63" s="35">
        <v>1.4</v>
      </c>
      <c r="G63" s="26">
        <v>3</v>
      </c>
      <c r="H63" s="26">
        <v>1.4</v>
      </c>
      <c r="I63" s="26">
        <v>1.4</v>
      </c>
      <c r="J63" s="26">
        <v>1.4</v>
      </c>
      <c r="K63" s="25">
        <v>7</v>
      </c>
      <c r="L63" s="7">
        <v>40</v>
      </c>
      <c r="M63" s="26">
        <f t="shared" si="6"/>
        <v>2000</v>
      </c>
      <c r="N63" s="30">
        <v>400</v>
      </c>
      <c r="O63" s="32"/>
      <c r="P63" s="28">
        <f>K63*N63+M63+50</f>
        <v>4850</v>
      </c>
      <c r="Q63" s="28">
        <f t="shared" si="7"/>
        <v>4850</v>
      </c>
      <c r="R63" s="34">
        <v>58</v>
      </c>
    </row>
    <row r="64" spans="2:18" s="4" customFormat="1" ht="18.95" customHeight="1">
      <c r="B64" s="6">
        <v>59</v>
      </c>
      <c r="C64" s="15" t="s">
        <v>43</v>
      </c>
      <c r="D64" s="26"/>
      <c r="E64" s="26"/>
      <c r="F64" s="46"/>
      <c r="G64" s="26"/>
      <c r="H64" s="26">
        <v>1.4</v>
      </c>
      <c r="I64" s="26">
        <v>1.4</v>
      </c>
      <c r="J64" s="26">
        <v>1.4</v>
      </c>
      <c r="K64" s="25">
        <v>3</v>
      </c>
      <c r="L64" s="7">
        <v>12</v>
      </c>
      <c r="M64" s="26">
        <f t="shared" si="6"/>
        <v>600</v>
      </c>
      <c r="N64" s="30">
        <v>400</v>
      </c>
      <c r="O64" s="32"/>
      <c r="P64" s="28">
        <f t="shared" si="8"/>
        <v>1800</v>
      </c>
      <c r="Q64" s="28">
        <f t="shared" si="7"/>
        <v>1800</v>
      </c>
      <c r="R64" s="34">
        <v>59</v>
      </c>
    </row>
    <row r="65" spans="2:18" s="4" customFormat="1" ht="18.95" customHeight="1">
      <c r="B65" s="6">
        <v>60</v>
      </c>
      <c r="C65" s="14" t="s">
        <v>69</v>
      </c>
      <c r="D65" s="26"/>
      <c r="E65" s="26"/>
      <c r="F65" s="46"/>
      <c r="G65" s="26"/>
      <c r="H65" s="26">
        <v>1.4</v>
      </c>
      <c r="I65" s="26">
        <v>1.4</v>
      </c>
      <c r="J65" s="26">
        <v>1.4</v>
      </c>
      <c r="K65" s="26">
        <v>3</v>
      </c>
      <c r="L65" s="26">
        <v>12</v>
      </c>
      <c r="M65" s="26">
        <f t="shared" si="6"/>
        <v>600</v>
      </c>
      <c r="N65" s="30">
        <v>400</v>
      </c>
      <c r="O65" s="32"/>
      <c r="P65" s="28">
        <f t="shared" si="8"/>
        <v>1800</v>
      </c>
      <c r="Q65" s="28">
        <f t="shared" si="7"/>
        <v>1800</v>
      </c>
      <c r="R65" s="34">
        <v>60</v>
      </c>
    </row>
    <row r="66" spans="2:18" s="4" customFormat="1" ht="18.95" customHeight="1">
      <c r="B66" s="6">
        <v>61</v>
      </c>
      <c r="C66" s="14" t="s">
        <v>57</v>
      </c>
      <c r="D66" s="26"/>
      <c r="E66" s="26"/>
      <c r="F66" s="46">
        <v>1.4</v>
      </c>
      <c r="G66" s="26"/>
      <c r="H66" s="26">
        <v>1.4</v>
      </c>
      <c r="I66" s="26">
        <v>1.4</v>
      </c>
      <c r="J66" s="26">
        <v>1.4</v>
      </c>
      <c r="K66" s="26">
        <v>4</v>
      </c>
      <c r="L66" s="26">
        <v>16</v>
      </c>
      <c r="M66" s="26">
        <f t="shared" si="6"/>
        <v>800</v>
      </c>
      <c r="N66" s="30">
        <v>400</v>
      </c>
      <c r="O66" s="32"/>
      <c r="P66" s="28">
        <f>K66*N66+M66+50</f>
        <v>2450</v>
      </c>
      <c r="Q66" s="28">
        <f t="shared" si="7"/>
        <v>2450</v>
      </c>
      <c r="R66" s="34">
        <v>61</v>
      </c>
    </row>
    <row r="67" spans="2:18" s="4" customFormat="1" ht="18.95" customHeight="1">
      <c r="B67" s="6">
        <v>62</v>
      </c>
      <c r="C67" s="14" t="s">
        <v>54</v>
      </c>
      <c r="D67" s="26"/>
      <c r="E67" s="26"/>
      <c r="F67" s="46">
        <v>1.4</v>
      </c>
      <c r="G67" s="26"/>
      <c r="H67" s="26">
        <v>1.4</v>
      </c>
      <c r="I67" s="26">
        <v>1.4</v>
      </c>
      <c r="J67" s="26">
        <v>1.4</v>
      </c>
      <c r="K67" s="26">
        <v>4</v>
      </c>
      <c r="L67" s="26">
        <v>16</v>
      </c>
      <c r="M67" s="26">
        <f t="shared" si="6"/>
        <v>800</v>
      </c>
      <c r="N67" s="30">
        <v>400</v>
      </c>
      <c r="O67" s="32"/>
      <c r="P67" s="28">
        <f>K67*N67+M67+50</f>
        <v>2450</v>
      </c>
      <c r="Q67" s="28">
        <f t="shared" si="7"/>
        <v>2450</v>
      </c>
      <c r="R67" s="34">
        <v>62</v>
      </c>
    </row>
    <row r="68" spans="2:18" s="4" customFormat="1" ht="18.95" customHeight="1">
      <c r="B68" s="6"/>
      <c r="C68" s="14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30"/>
      <c r="O68" s="32"/>
      <c r="P68" s="28"/>
      <c r="Q68" s="28"/>
      <c r="R68" s="34"/>
    </row>
    <row r="69" spans="2:18" s="4" customFormat="1" ht="18.95" customHeight="1">
      <c r="B69" s="6"/>
      <c r="C69" s="14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30"/>
      <c r="O69" s="32"/>
      <c r="P69" s="28"/>
      <c r="Q69" s="28"/>
      <c r="R69" s="34"/>
    </row>
    <row r="70" spans="2:18" s="4" customFormat="1" ht="20.100000000000001" customHeight="1">
      <c r="C70" s="36" t="s">
        <v>85</v>
      </c>
      <c r="D70" s="36"/>
      <c r="E70" s="36"/>
      <c r="F70" s="36"/>
      <c r="G70" s="36"/>
      <c r="H70" s="37"/>
      <c r="I70" s="36"/>
      <c r="J70" s="36"/>
      <c r="K70" s="36"/>
      <c r="L70" s="36"/>
      <c r="M70" s="36"/>
      <c r="N70" s="32"/>
      <c r="O70" s="32"/>
      <c r="P70" s="42">
        <f>SUM(P8:P68)+P4+P5</f>
        <v>171806.25</v>
      </c>
      <c r="Q70" s="42">
        <f>SUM(Q8:Q68)+Q4+Q5</f>
        <v>170186.25</v>
      </c>
      <c r="R70" s="42"/>
    </row>
    <row r="71" spans="2:18" ht="11.1" customHeight="1">
      <c r="C71" s="38"/>
      <c r="D71" s="38"/>
      <c r="E71" s="39"/>
      <c r="F71" s="39"/>
      <c r="G71" s="39"/>
      <c r="H71" s="39"/>
      <c r="I71" s="39"/>
      <c r="J71" s="39"/>
      <c r="K71" s="43"/>
      <c r="L71" s="44"/>
      <c r="M71" s="38"/>
      <c r="N71" s="45"/>
      <c r="O71" s="45"/>
      <c r="P71" s="45"/>
      <c r="Q71" s="45"/>
    </row>
    <row r="72" spans="2:18" ht="12.95" customHeight="1">
      <c r="C72" s="38"/>
      <c r="D72" s="38"/>
      <c r="E72" s="39"/>
      <c r="F72" s="39"/>
      <c r="G72" s="39"/>
      <c r="H72" s="39"/>
      <c r="I72" s="39"/>
      <c r="J72" s="39"/>
      <c r="K72" s="43"/>
      <c r="L72" s="44"/>
      <c r="M72" s="38"/>
      <c r="N72" s="45"/>
      <c r="O72" s="45"/>
      <c r="P72" s="45"/>
      <c r="Q72" s="45"/>
    </row>
    <row r="73" spans="2:18">
      <c r="C73" s="38" t="s">
        <v>86</v>
      </c>
      <c r="D73" s="38"/>
      <c r="E73" s="39"/>
      <c r="F73" s="39"/>
      <c r="G73" s="39"/>
      <c r="H73" s="39"/>
      <c r="I73" s="39"/>
      <c r="J73" s="39"/>
      <c r="K73" s="43"/>
      <c r="L73" s="44"/>
      <c r="M73" s="38"/>
    </row>
    <row r="74" spans="2:18">
      <c r="C74" s="40" t="s">
        <v>87</v>
      </c>
      <c r="K74" s="43"/>
      <c r="L74" s="44"/>
    </row>
    <row r="75" spans="2:18">
      <c r="K75" s="43"/>
      <c r="L75" s="44"/>
    </row>
    <row r="76" spans="2:18">
      <c r="K76" s="43"/>
      <c r="L76" s="44"/>
    </row>
    <row r="77" spans="2:18">
      <c r="K77" s="43" t="s">
        <v>88</v>
      </c>
      <c r="L77" s="44"/>
    </row>
    <row r="78" spans="2:18">
      <c r="K78" s="43"/>
      <c r="L78" s="44"/>
    </row>
  </sheetData>
  <mergeCells count="3">
    <mergeCell ref="B2:R2"/>
    <mergeCell ref="B3:R3"/>
    <mergeCell ref="B6:R6"/>
  </mergeCells>
  <pageMargins left="0.7" right="0.45" top="0.65500000000000003" bottom="0.75" header="0.3" footer="0.3"/>
  <pageSetup paperSize="9" scale="92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S80"/>
  <sheetViews>
    <sheetView topLeftCell="B1" zoomScale="115" zoomScaleNormal="115" workbookViewId="0">
      <selection activeCell="B4" sqref="B4"/>
    </sheetView>
  </sheetViews>
  <sheetFormatPr defaultColWidth="9" defaultRowHeight="15"/>
  <cols>
    <col min="1" max="1" width="8.140625" hidden="1" customWidth="1"/>
    <col min="2" max="2" width="6" customWidth="1"/>
    <col min="3" max="3" width="20.28515625" customWidth="1"/>
    <col min="4" max="4" width="0.140625" hidden="1" customWidth="1"/>
    <col min="5" max="5" width="9.140625" style="3" hidden="1" customWidth="1"/>
    <col min="6" max="6" width="7" style="3" hidden="1" customWidth="1"/>
    <col min="7" max="7" width="8.140625" style="5" hidden="1" customWidth="1"/>
    <col min="8" max="8" width="9.140625" style="3" hidden="1" customWidth="1"/>
    <col min="9" max="9" width="9" style="3" hidden="1" customWidth="1"/>
    <col min="10" max="10" width="7.28515625" style="3" hidden="1" customWidth="1"/>
    <col min="11" max="12" width="5.7109375" customWidth="1"/>
    <col min="13" max="13" width="9.7109375" hidden="1" customWidth="1"/>
    <col min="14" max="14" width="6.7109375" customWidth="1"/>
    <col min="15" max="15" width="8" customWidth="1"/>
    <col min="16" max="16" width="11.5703125" customWidth="1"/>
    <col min="17" max="17" width="13" customWidth="1"/>
    <col min="18" max="18" width="10.7109375" customWidth="1"/>
  </cols>
  <sheetData>
    <row r="1" spans="2:19" ht="4.5" customHeight="1"/>
    <row r="2" spans="2:19" ht="23.25">
      <c r="B2" s="53" t="s">
        <v>0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</row>
    <row r="3" spans="2:19" ht="18.75">
      <c r="B3" s="55" t="s">
        <v>93</v>
      </c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</row>
    <row r="4" spans="2:19" s="1" customFormat="1" ht="20.100000000000001" customHeight="1">
      <c r="B4" s="6">
        <v>1</v>
      </c>
      <c r="C4" s="7" t="s">
        <v>2</v>
      </c>
      <c r="D4" s="8">
        <v>1.3</v>
      </c>
      <c r="E4" s="8">
        <v>1.3</v>
      </c>
      <c r="F4" s="9">
        <v>1.3</v>
      </c>
      <c r="G4" s="8">
        <v>1.3</v>
      </c>
      <c r="H4" s="8">
        <v>1.3</v>
      </c>
      <c r="I4" s="8">
        <v>1.3</v>
      </c>
      <c r="J4" s="8">
        <v>1.3</v>
      </c>
      <c r="K4" s="25">
        <v>7</v>
      </c>
      <c r="L4" s="7">
        <v>21</v>
      </c>
      <c r="M4" s="26">
        <f t="shared" ref="M4:M45" si="0">N4/8*L4</f>
        <v>918.75</v>
      </c>
      <c r="N4" s="27">
        <v>350</v>
      </c>
      <c r="O4" s="27">
        <v>1000</v>
      </c>
      <c r="P4" s="28">
        <f>K4*N4+M4+50</f>
        <v>3418.75</v>
      </c>
      <c r="Q4" s="28">
        <f>P4-O4</f>
        <v>2418.75</v>
      </c>
      <c r="R4" s="34">
        <v>1</v>
      </c>
      <c r="S4" s="1" t="s">
        <v>94</v>
      </c>
    </row>
    <row r="5" spans="2:19" s="2" customFormat="1" ht="18.95" customHeight="1">
      <c r="B5" s="6">
        <v>2</v>
      </c>
      <c r="C5" s="7" t="s">
        <v>3</v>
      </c>
      <c r="D5" s="8">
        <v>1.4</v>
      </c>
      <c r="E5" s="8">
        <v>1.4</v>
      </c>
      <c r="F5" s="9">
        <v>1.4</v>
      </c>
      <c r="G5" s="8">
        <v>1.4</v>
      </c>
      <c r="H5" s="8">
        <v>1.4</v>
      </c>
      <c r="I5" s="8">
        <v>1.4</v>
      </c>
      <c r="J5" s="8">
        <v>1.4</v>
      </c>
      <c r="K5" s="25">
        <v>7</v>
      </c>
      <c r="L5" s="7">
        <v>28</v>
      </c>
      <c r="M5" s="26">
        <f t="shared" si="0"/>
        <v>1750</v>
      </c>
      <c r="N5" s="27">
        <v>500</v>
      </c>
      <c r="O5" s="27">
        <v>500</v>
      </c>
      <c r="P5" s="28">
        <f>K5*N5+M5+50</f>
        <v>5300</v>
      </c>
      <c r="Q5" s="28">
        <f>P5-O5</f>
        <v>4800</v>
      </c>
      <c r="R5" s="34">
        <v>2</v>
      </c>
      <c r="S5" s="2">
        <v>6000</v>
      </c>
    </row>
    <row r="6" spans="2:19" ht="12.95" customHeight="1">
      <c r="B6" s="57" t="s">
        <v>4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>
        <v>1</v>
      </c>
    </row>
    <row r="7" spans="2:19" ht="27.95" customHeight="1">
      <c r="B7" s="10"/>
      <c r="C7" s="11" t="s">
        <v>5</v>
      </c>
      <c r="D7" s="12">
        <v>46052</v>
      </c>
      <c r="E7" s="12">
        <v>46053</v>
      </c>
      <c r="F7" s="13">
        <v>46054</v>
      </c>
      <c r="G7" s="12">
        <v>46055</v>
      </c>
      <c r="H7" s="12">
        <v>46056</v>
      </c>
      <c r="I7" s="12">
        <v>46057</v>
      </c>
      <c r="J7" s="12">
        <v>46058</v>
      </c>
      <c r="K7" s="11" t="s">
        <v>90</v>
      </c>
      <c r="L7" s="11" t="s">
        <v>14</v>
      </c>
      <c r="M7" s="11" t="s">
        <v>15</v>
      </c>
      <c r="N7" s="11" t="s">
        <v>16</v>
      </c>
      <c r="O7" s="11" t="s">
        <v>95</v>
      </c>
      <c r="P7" s="11"/>
      <c r="Q7" s="11"/>
      <c r="R7" s="11" t="s">
        <v>17</v>
      </c>
    </row>
    <row r="8" spans="2:19" s="3" customFormat="1" ht="20.100000000000001" customHeight="1">
      <c r="B8" s="6">
        <v>3</v>
      </c>
      <c r="C8" s="7" t="s">
        <v>18</v>
      </c>
      <c r="D8" s="8">
        <v>1</v>
      </c>
      <c r="E8" s="8">
        <v>1</v>
      </c>
      <c r="F8" s="9"/>
      <c r="G8" s="8"/>
      <c r="H8" s="8">
        <v>1</v>
      </c>
      <c r="I8" s="8">
        <v>1</v>
      </c>
      <c r="J8" s="8">
        <v>1</v>
      </c>
      <c r="K8" s="25">
        <f>SUM(D8:J8)</f>
        <v>5</v>
      </c>
      <c r="L8" s="7"/>
      <c r="M8" s="26">
        <f t="shared" si="0"/>
        <v>0</v>
      </c>
      <c r="N8" s="27">
        <v>350</v>
      </c>
      <c r="O8" s="27"/>
      <c r="P8" s="28">
        <f>K8*N8+M8</f>
        <v>1750</v>
      </c>
      <c r="Q8" s="28">
        <f>P8-O8</f>
        <v>1750</v>
      </c>
      <c r="R8" s="34">
        <v>3</v>
      </c>
    </row>
    <row r="9" spans="2:19" s="3" customFormat="1" ht="20.100000000000001" customHeight="1">
      <c r="B9" s="6">
        <v>4</v>
      </c>
      <c r="C9" s="7" t="s">
        <v>19</v>
      </c>
      <c r="D9" s="8">
        <v>1.4</v>
      </c>
      <c r="E9" s="8">
        <v>1.4</v>
      </c>
      <c r="F9" s="9">
        <v>1.4</v>
      </c>
      <c r="G9" s="8">
        <v>1.4</v>
      </c>
      <c r="H9" s="8">
        <v>1.2</v>
      </c>
      <c r="I9" s="8">
        <v>1.4</v>
      </c>
      <c r="J9" s="8">
        <v>1.4</v>
      </c>
      <c r="K9" s="25">
        <v>7</v>
      </c>
      <c r="L9" s="7">
        <v>26</v>
      </c>
      <c r="M9" s="26">
        <f t="shared" si="0"/>
        <v>1300</v>
      </c>
      <c r="N9" s="27">
        <v>400</v>
      </c>
      <c r="O9" s="27"/>
      <c r="P9" s="28">
        <f>K9*N9+M9+50</f>
        <v>4150</v>
      </c>
      <c r="Q9" s="28">
        <f t="shared" ref="Q9:Q40" si="1">P9-O9</f>
        <v>4150</v>
      </c>
      <c r="R9" s="34">
        <v>4</v>
      </c>
    </row>
    <row r="10" spans="2:19" ht="20.100000000000001" customHeight="1">
      <c r="B10" s="6">
        <v>5</v>
      </c>
      <c r="C10" s="7" t="s">
        <v>20</v>
      </c>
      <c r="D10" s="8">
        <v>1.4</v>
      </c>
      <c r="E10" s="8"/>
      <c r="F10" s="9"/>
      <c r="G10" s="8">
        <v>1.4</v>
      </c>
      <c r="H10" s="8">
        <v>1.4</v>
      </c>
      <c r="I10" s="8">
        <v>1.4</v>
      </c>
      <c r="J10" s="8">
        <v>0.6</v>
      </c>
      <c r="K10" s="25">
        <v>4</v>
      </c>
      <c r="L10" s="7">
        <v>22</v>
      </c>
      <c r="M10" s="26">
        <f t="shared" si="0"/>
        <v>1100</v>
      </c>
      <c r="N10" s="27">
        <v>400</v>
      </c>
      <c r="O10" s="27"/>
      <c r="P10" s="28">
        <f t="shared" ref="P10:P39" si="2">K10*N10+M10</f>
        <v>2700</v>
      </c>
      <c r="Q10" s="28">
        <f t="shared" si="1"/>
        <v>2700</v>
      </c>
      <c r="R10" s="34">
        <v>5</v>
      </c>
    </row>
    <row r="11" spans="2:19" s="3" customFormat="1" ht="20.100000000000001" customHeight="1">
      <c r="B11" s="6">
        <v>6</v>
      </c>
      <c r="C11" s="7" t="s">
        <v>22</v>
      </c>
      <c r="D11" s="8">
        <v>1.4</v>
      </c>
      <c r="E11" s="8">
        <v>1.4</v>
      </c>
      <c r="F11" s="9">
        <v>1.4</v>
      </c>
      <c r="G11" s="8">
        <v>2.4</v>
      </c>
      <c r="H11" s="8">
        <v>2</v>
      </c>
      <c r="I11" s="8">
        <v>2.4</v>
      </c>
      <c r="J11" s="8">
        <v>2.4</v>
      </c>
      <c r="K11" s="25">
        <v>7</v>
      </c>
      <c r="L11" s="7">
        <v>56</v>
      </c>
      <c r="M11" s="26">
        <f t="shared" si="0"/>
        <v>2800</v>
      </c>
      <c r="N11" s="26">
        <v>400</v>
      </c>
      <c r="O11" s="26"/>
      <c r="P11" s="28">
        <f>K11*N11+M11+50</f>
        <v>5650</v>
      </c>
      <c r="Q11" s="28">
        <f t="shared" si="1"/>
        <v>5650</v>
      </c>
      <c r="R11" s="34">
        <v>6</v>
      </c>
    </row>
    <row r="12" spans="2:19" s="3" customFormat="1" ht="20.100000000000001" customHeight="1">
      <c r="B12" s="6">
        <v>7</v>
      </c>
      <c r="C12" s="14" t="s">
        <v>23</v>
      </c>
      <c r="D12" s="8">
        <v>0.4</v>
      </c>
      <c r="E12" s="8">
        <v>1.4</v>
      </c>
      <c r="F12" s="9">
        <v>1</v>
      </c>
      <c r="G12" s="8"/>
      <c r="H12" s="8">
        <v>1.4</v>
      </c>
      <c r="I12" s="8">
        <v>1.4</v>
      </c>
      <c r="J12" s="8">
        <v>1.4</v>
      </c>
      <c r="K12" s="25">
        <v>5</v>
      </c>
      <c r="L12" s="7">
        <v>20</v>
      </c>
      <c r="M12" s="26">
        <f t="shared" si="0"/>
        <v>1000</v>
      </c>
      <c r="N12" s="26">
        <v>400</v>
      </c>
      <c r="O12" s="26"/>
      <c r="P12" s="28">
        <f>K12*N12+M12+50</f>
        <v>3050</v>
      </c>
      <c r="Q12" s="28">
        <f t="shared" si="1"/>
        <v>3050</v>
      </c>
      <c r="R12" s="34">
        <v>7</v>
      </c>
    </row>
    <row r="13" spans="2:19" ht="20.100000000000001" customHeight="1">
      <c r="B13" s="6">
        <v>8</v>
      </c>
      <c r="C13" s="14" t="s">
        <v>26</v>
      </c>
      <c r="D13" s="8">
        <v>1</v>
      </c>
      <c r="E13" s="8">
        <v>1</v>
      </c>
      <c r="F13" s="9"/>
      <c r="G13" s="8">
        <v>1</v>
      </c>
      <c r="H13" s="8">
        <v>1</v>
      </c>
      <c r="I13" s="8">
        <v>1</v>
      </c>
      <c r="J13" s="8">
        <v>1</v>
      </c>
      <c r="K13" s="25">
        <f>SUM(D13:J13)</f>
        <v>6</v>
      </c>
      <c r="L13" s="7"/>
      <c r="M13" s="26">
        <f t="shared" si="0"/>
        <v>0</v>
      </c>
      <c r="N13" s="27">
        <v>400</v>
      </c>
      <c r="O13" s="27"/>
      <c r="P13" s="28">
        <f t="shared" si="2"/>
        <v>2400</v>
      </c>
      <c r="Q13" s="28">
        <f t="shared" si="1"/>
        <v>2400</v>
      </c>
      <c r="R13" s="34">
        <v>8</v>
      </c>
    </row>
    <row r="14" spans="2:19" ht="20.100000000000001" customHeight="1">
      <c r="B14" s="6">
        <v>9</v>
      </c>
      <c r="C14" s="14" t="s">
        <v>27</v>
      </c>
      <c r="D14" s="8"/>
      <c r="E14" s="8"/>
      <c r="F14" s="9">
        <v>0.1</v>
      </c>
      <c r="G14" s="8">
        <v>1.4</v>
      </c>
      <c r="H14" s="8">
        <v>2.4</v>
      </c>
      <c r="I14" s="8"/>
      <c r="J14" s="8">
        <v>3</v>
      </c>
      <c r="K14" s="25">
        <v>3</v>
      </c>
      <c r="L14" s="7">
        <v>32</v>
      </c>
      <c r="M14" s="26">
        <f t="shared" si="0"/>
        <v>1600</v>
      </c>
      <c r="N14" s="27">
        <v>400</v>
      </c>
      <c r="O14" s="27"/>
      <c r="P14" s="28">
        <f t="shared" si="2"/>
        <v>2800</v>
      </c>
      <c r="Q14" s="28">
        <f t="shared" si="1"/>
        <v>2800</v>
      </c>
      <c r="R14" s="34">
        <v>9</v>
      </c>
    </row>
    <row r="15" spans="2:19" ht="20.100000000000001" customHeight="1">
      <c r="B15" s="6">
        <v>10</v>
      </c>
      <c r="C15" s="15" t="s">
        <v>96</v>
      </c>
      <c r="D15" s="8"/>
      <c r="E15" s="8"/>
      <c r="F15" s="9"/>
      <c r="G15" s="8"/>
      <c r="H15" s="8"/>
      <c r="I15" s="8"/>
      <c r="J15" s="8"/>
      <c r="K15" s="25">
        <f>SUM(D15:J15)</f>
        <v>0</v>
      </c>
      <c r="L15" s="7"/>
      <c r="M15" s="26">
        <f t="shared" si="0"/>
        <v>0</v>
      </c>
      <c r="N15" s="26">
        <v>400</v>
      </c>
      <c r="O15" s="26"/>
      <c r="P15" s="28">
        <f t="shared" si="2"/>
        <v>0</v>
      </c>
      <c r="Q15" s="28">
        <f t="shared" si="1"/>
        <v>0</v>
      </c>
      <c r="R15" s="34">
        <v>10</v>
      </c>
    </row>
    <row r="16" spans="2:19" ht="20.100000000000001" customHeight="1">
      <c r="B16" s="6">
        <v>11</v>
      </c>
      <c r="C16" s="15" t="s">
        <v>28</v>
      </c>
      <c r="D16" s="8">
        <v>1</v>
      </c>
      <c r="E16" s="8">
        <v>1</v>
      </c>
      <c r="F16" s="9"/>
      <c r="G16" s="8">
        <v>1</v>
      </c>
      <c r="H16" s="8"/>
      <c r="I16" s="8">
        <v>1</v>
      </c>
      <c r="J16" s="8">
        <v>1</v>
      </c>
      <c r="K16" s="25">
        <f>SUM(D16:J16)</f>
        <v>5</v>
      </c>
      <c r="L16" s="7"/>
      <c r="M16" s="26">
        <f t="shared" si="0"/>
        <v>0</v>
      </c>
      <c r="N16" s="26">
        <v>400</v>
      </c>
      <c r="O16" s="26"/>
      <c r="P16" s="28">
        <f t="shared" si="2"/>
        <v>2000</v>
      </c>
      <c r="Q16" s="28">
        <f t="shared" si="1"/>
        <v>2000</v>
      </c>
      <c r="R16" s="34">
        <v>11</v>
      </c>
    </row>
    <row r="17" spans="2:18" ht="20.100000000000001" customHeight="1">
      <c r="B17" s="6">
        <v>12</v>
      </c>
      <c r="C17" s="7" t="s">
        <v>30</v>
      </c>
      <c r="D17" s="8">
        <v>1</v>
      </c>
      <c r="E17" s="8">
        <v>1</v>
      </c>
      <c r="F17" s="9">
        <v>1</v>
      </c>
      <c r="G17" s="8">
        <v>1</v>
      </c>
      <c r="H17" s="8">
        <v>1</v>
      </c>
      <c r="I17" s="8">
        <v>1</v>
      </c>
      <c r="J17" s="8"/>
      <c r="K17" s="25">
        <f>SUM(D17:J17)</f>
        <v>6</v>
      </c>
      <c r="L17" s="7"/>
      <c r="M17" s="26">
        <f t="shared" si="0"/>
        <v>0</v>
      </c>
      <c r="N17" s="26">
        <v>400</v>
      </c>
      <c r="O17" s="26"/>
      <c r="P17" s="28">
        <f>K17*N17+M17+50</f>
        <v>2450</v>
      </c>
      <c r="Q17" s="28">
        <f t="shared" si="1"/>
        <v>2450</v>
      </c>
      <c r="R17" s="34">
        <v>12</v>
      </c>
    </row>
    <row r="18" spans="2:18" ht="20.100000000000001" customHeight="1">
      <c r="B18" s="6">
        <v>13</v>
      </c>
      <c r="C18" s="7" t="s">
        <v>31</v>
      </c>
      <c r="D18" s="8">
        <v>1</v>
      </c>
      <c r="E18" s="8">
        <v>1</v>
      </c>
      <c r="F18" s="9"/>
      <c r="G18" s="8"/>
      <c r="H18" s="8">
        <v>1</v>
      </c>
      <c r="I18" s="8">
        <v>2</v>
      </c>
      <c r="J18" s="8">
        <v>2</v>
      </c>
      <c r="K18" s="25">
        <v>5</v>
      </c>
      <c r="L18" s="7">
        <v>16</v>
      </c>
      <c r="M18" s="26">
        <f t="shared" si="0"/>
        <v>800</v>
      </c>
      <c r="N18" s="26">
        <v>400</v>
      </c>
      <c r="O18" s="26"/>
      <c r="P18" s="28">
        <f t="shared" si="2"/>
        <v>2800</v>
      </c>
      <c r="Q18" s="28">
        <f t="shared" si="1"/>
        <v>2800</v>
      </c>
      <c r="R18" s="34">
        <v>13</v>
      </c>
    </row>
    <row r="19" spans="2:18" ht="20.100000000000001" customHeight="1">
      <c r="B19" s="6">
        <v>14</v>
      </c>
      <c r="C19" s="7" t="s">
        <v>32</v>
      </c>
      <c r="D19" s="8">
        <v>1.4</v>
      </c>
      <c r="E19" s="8">
        <v>1.6</v>
      </c>
      <c r="F19" s="9">
        <v>1.4</v>
      </c>
      <c r="G19" s="8">
        <v>1.4</v>
      </c>
      <c r="H19" s="8"/>
      <c r="I19" s="8">
        <v>1.4</v>
      </c>
      <c r="J19" s="8">
        <v>1.4</v>
      </c>
      <c r="K19" s="25">
        <v>6</v>
      </c>
      <c r="L19" s="7">
        <v>24</v>
      </c>
      <c r="M19" s="26">
        <f t="shared" si="0"/>
        <v>1200</v>
      </c>
      <c r="N19" s="27">
        <v>400</v>
      </c>
      <c r="O19" s="27"/>
      <c r="P19" s="28">
        <f>K19*N19+M19+50+50</f>
        <v>3700</v>
      </c>
      <c r="Q19" s="28">
        <f t="shared" si="1"/>
        <v>3700</v>
      </c>
      <c r="R19" s="34">
        <v>14</v>
      </c>
    </row>
    <row r="20" spans="2:18" ht="20.100000000000001" customHeight="1">
      <c r="B20" s="6">
        <v>15</v>
      </c>
      <c r="C20" s="7" t="s">
        <v>33</v>
      </c>
      <c r="D20" s="8">
        <v>1</v>
      </c>
      <c r="E20" s="8">
        <v>1</v>
      </c>
      <c r="F20" s="9">
        <v>1</v>
      </c>
      <c r="G20" s="8">
        <v>1</v>
      </c>
      <c r="H20" s="8">
        <v>1</v>
      </c>
      <c r="I20" s="8">
        <v>1</v>
      </c>
      <c r="J20" s="8"/>
      <c r="K20" s="25">
        <f>SUM(D20:J20)</f>
        <v>6</v>
      </c>
      <c r="L20" s="7"/>
      <c r="M20" s="26">
        <f t="shared" si="0"/>
        <v>0</v>
      </c>
      <c r="N20" s="26">
        <v>400</v>
      </c>
      <c r="O20" s="26"/>
      <c r="P20" s="28">
        <f>K20*N20+M20+50</f>
        <v>2450</v>
      </c>
      <c r="Q20" s="28">
        <f t="shared" si="1"/>
        <v>2450</v>
      </c>
      <c r="R20" s="34">
        <v>15</v>
      </c>
    </row>
    <row r="21" spans="2:18" ht="20.100000000000001" customHeight="1">
      <c r="B21" s="6">
        <v>16</v>
      </c>
      <c r="C21" s="7" t="s">
        <v>34</v>
      </c>
      <c r="D21" s="8">
        <v>1</v>
      </c>
      <c r="E21" s="8">
        <v>1</v>
      </c>
      <c r="F21" s="9">
        <v>1</v>
      </c>
      <c r="G21" s="8">
        <v>1</v>
      </c>
      <c r="H21" s="8">
        <v>1</v>
      </c>
      <c r="I21" s="8">
        <v>1</v>
      </c>
      <c r="J21" s="8"/>
      <c r="K21" s="25">
        <f>SUM(D21:J21)</f>
        <v>6</v>
      </c>
      <c r="L21" s="7"/>
      <c r="M21" s="26">
        <f t="shared" si="0"/>
        <v>0</v>
      </c>
      <c r="N21" s="27">
        <v>400</v>
      </c>
      <c r="O21" s="27"/>
      <c r="P21" s="28">
        <f>K21*N21+M21+50</f>
        <v>2450</v>
      </c>
      <c r="Q21" s="28">
        <f t="shared" si="1"/>
        <v>2450</v>
      </c>
      <c r="R21" s="34">
        <v>16</v>
      </c>
    </row>
    <row r="22" spans="2:18" ht="20.100000000000001" customHeight="1">
      <c r="B22" s="6">
        <v>17</v>
      </c>
      <c r="C22" s="7" t="s">
        <v>35</v>
      </c>
      <c r="D22" s="8">
        <v>1.3</v>
      </c>
      <c r="E22" s="8">
        <v>1.3</v>
      </c>
      <c r="F22" s="9"/>
      <c r="G22" s="8">
        <v>1.4</v>
      </c>
      <c r="H22" s="8"/>
      <c r="I22" s="8">
        <v>1.4</v>
      </c>
      <c r="J22" s="8">
        <v>1</v>
      </c>
      <c r="K22" s="25">
        <v>5</v>
      </c>
      <c r="L22" s="7">
        <v>14</v>
      </c>
      <c r="M22" s="26">
        <f t="shared" si="0"/>
        <v>700</v>
      </c>
      <c r="N22" s="26">
        <v>400</v>
      </c>
      <c r="O22" s="26"/>
      <c r="P22" s="28">
        <f t="shared" si="2"/>
        <v>2700</v>
      </c>
      <c r="Q22" s="28">
        <f t="shared" si="1"/>
        <v>2700</v>
      </c>
      <c r="R22" s="34">
        <v>17</v>
      </c>
    </row>
    <row r="23" spans="2:18" ht="20.100000000000001" customHeight="1">
      <c r="B23" s="6">
        <v>18</v>
      </c>
      <c r="C23" s="7" t="s">
        <v>40</v>
      </c>
      <c r="D23" s="8">
        <v>1</v>
      </c>
      <c r="E23" s="8"/>
      <c r="F23" s="9"/>
      <c r="G23" s="8"/>
      <c r="H23" s="8">
        <v>1</v>
      </c>
      <c r="I23" s="8">
        <v>1</v>
      </c>
      <c r="J23" s="8">
        <v>1</v>
      </c>
      <c r="K23" s="25">
        <f>SUM(D23:J23)</f>
        <v>4</v>
      </c>
      <c r="L23" s="7"/>
      <c r="M23" s="26">
        <f t="shared" si="0"/>
        <v>0</v>
      </c>
      <c r="N23" s="26">
        <v>400</v>
      </c>
      <c r="O23" s="26"/>
      <c r="P23" s="28">
        <f t="shared" si="2"/>
        <v>1600</v>
      </c>
      <c r="Q23" s="28">
        <f t="shared" si="1"/>
        <v>1600</v>
      </c>
      <c r="R23" s="34">
        <v>18</v>
      </c>
    </row>
    <row r="24" spans="2:18" ht="20.100000000000001" customHeight="1">
      <c r="B24" s="6">
        <v>19</v>
      </c>
      <c r="C24" s="7" t="s">
        <v>37</v>
      </c>
      <c r="D24" s="8">
        <v>2</v>
      </c>
      <c r="E24" s="8"/>
      <c r="F24" s="9"/>
      <c r="G24" s="8">
        <v>2.2999999999999998</v>
      </c>
      <c r="H24" s="8">
        <v>1</v>
      </c>
      <c r="I24" s="8">
        <v>2</v>
      </c>
      <c r="J24" s="8">
        <v>2</v>
      </c>
      <c r="K24" s="25">
        <v>5</v>
      </c>
      <c r="L24" s="7">
        <v>35</v>
      </c>
      <c r="M24" s="26">
        <f t="shared" si="0"/>
        <v>1750</v>
      </c>
      <c r="N24" s="26">
        <v>400</v>
      </c>
      <c r="O24" s="26"/>
      <c r="P24" s="28">
        <f t="shared" si="2"/>
        <v>3750</v>
      </c>
      <c r="Q24" s="28">
        <f t="shared" si="1"/>
        <v>3750</v>
      </c>
      <c r="R24" s="34">
        <v>19</v>
      </c>
    </row>
    <row r="25" spans="2:18" ht="20.100000000000001" customHeight="1">
      <c r="B25" s="6">
        <v>20</v>
      </c>
      <c r="C25" s="7" t="s">
        <v>38</v>
      </c>
      <c r="D25" s="8"/>
      <c r="E25" s="8">
        <v>1</v>
      </c>
      <c r="F25" s="9"/>
      <c r="G25" s="8">
        <v>1</v>
      </c>
      <c r="H25" s="8">
        <v>1</v>
      </c>
      <c r="I25" s="8">
        <v>1</v>
      </c>
      <c r="J25" s="8">
        <v>1</v>
      </c>
      <c r="K25" s="25">
        <f>SUM(D25:J25)</f>
        <v>5</v>
      </c>
      <c r="L25" s="7"/>
      <c r="M25" s="26">
        <f t="shared" si="0"/>
        <v>0</v>
      </c>
      <c r="N25" s="26">
        <v>400</v>
      </c>
      <c r="O25" s="29"/>
      <c r="P25" s="28">
        <f t="shared" si="2"/>
        <v>2000</v>
      </c>
      <c r="Q25" s="28">
        <f t="shared" si="1"/>
        <v>2000</v>
      </c>
      <c r="R25" s="34">
        <v>20</v>
      </c>
    </row>
    <row r="26" spans="2:18" ht="20.100000000000001" customHeight="1">
      <c r="B26" s="6">
        <v>21</v>
      </c>
      <c r="C26" s="14" t="s">
        <v>39</v>
      </c>
      <c r="D26" s="8"/>
      <c r="E26" s="8">
        <v>1</v>
      </c>
      <c r="F26" s="9"/>
      <c r="G26" s="8">
        <v>1</v>
      </c>
      <c r="H26" s="8">
        <v>1</v>
      </c>
      <c r="I26" s="8">
        <v>1</v>
      </c>
      <c r="J26" s="8">
        <v>2</v>
      </c>
      <c r="K26" s="25">
        <v>5</v>
      </c>
      <c r="L26" s="7">
        <v>8</v>
      </c>
      <c r="M26" s="26">
        <f t="shared" si="0"/>
        <v>400</v>
      </c>
      <c r="N26" s="26">
        <v>400</v>
      </c>
      <c r="O26" s="29"/>
      <c r="P26" s="28">
        <f t="shared" si="2"/>
        <v>2400</v>
      </c>
      <c r="Q26" s="28">
        <f t="shared" si="1"/>
        <v>2400</v>
      </c>
      <c r="R26" s="34">
        <v>21</v>
      </c>
    </row>
    <row r="27" spans="2:18" ht="20.100000000000001" customHeight="1">
      <c r="B27" s="6">
        <v>22</v>
      </c>
      <c r="C27" s="7" t="s">
        <v>41</v>
      </c>
      <c r="D27" s="8">
        <v>1</v>
      </c>
      <c r="E27" s="8">
        <v>1</v>
      </c>
      <c r="F27" s="9">
        <v>2.2999999999999998</v>
      </c>
      <c r="G27" s="8">
        <v>1</v>
      </c>
      <c r="H27" s="8">
        <v>1</v>
      </c>
      <c r="I27" s="8">
        <v>1</v>
      </c>
      <c r="J27" s="8">
        <v>1</v>
      </c>
      <c r="K27" s="25">
        <v>7</v>
      </c>
      <c r="L27" s="7">
        <v>11</v>
      </c>
      <c r="M27" s="26">
        <f t="shared" si="0"/>
        <v>550</v>
      </c>
      <c r="N27" s="26">
        <v>400</v>
      </c>
      <c r="O27" s="29"/>
      <c r="P27" s="28">
        <f>K27*N27+M27+100</f>
        <v>3450</v>
      </c>
      <c r="Q27" s="28">
        <f t="shared" si="1"/>
        <v>3450</v>
      </c>
      <c r="R27" s="34">
        <v>22</v>
      </c>
    </row>
    <row r="28" spans="2:18" ht="20.100000000000001" customHeight="1">
      <c r="B28" s="6">
        <v>23</v>
      </c>
      <c r="C28" s="14" t="s">
        <v>44</v>
      </c>
      <c r="D28" s="8">
        <v>1</v>
      </c>
      <c r="E28" s="8">
        <v>1.3</v>
      </c>
      <c r="F28" s="9"/>
      <c r="G28" s="8"/>
      <c r="H28" s="8">
        <v>1.3</v>
      </c>
      <c r="I28" s="8">
        <v>1.3</v>
      </c>
      <c r="J28" s="8">
        <v>0.5</v>
      </c>
      <c r="K28" s="25">
        <v>4</v>
      </c>
      <c r="L28" s="7">
        <v>14</v>
      </c>
      <c r="M28" s="26">
        <f t="shared" si="0"/>
        <v>700</v>
      </c>
      <c r="N28" s="26">
        <v>400</v>
      </c>
      <c r="O28" s="29"/>
      <c r="P28" s="28">
        <f t="shared" si="2"/>
        <v>2300</v>
      </c>
      <c r="Q28" s="28">
        <f t="shared" si="1"/>
        <v>2300</v>
      </c>
      <c r="R28" s="34">
        <v>23</v>
      </c>
    </row>
    <row r="29" spans="2:18" ht="20.100000000000001" customHeight="1">
      <c r="B29" s="6">
        <v>24</v>
      </c>
      <c r="C29" s="7" t="s">
        <v>45</v>
      </c>
      <c r="D29" s="8">
        <v>0.4</v>
      </c>
      <c r="E29" s="8">
        <v>1.4</v>
      </c>
      <c r="F29" s="9">
        <v>1</v>
      </c>
      <c r="G29" s="8"/>
      <c r="H29" s="8">
        <v>1.4</v>
      </c>
      <c r="I29" s="8">
        <v>1.4</v>
      </c>
      <c r="J29" s="8">
        <v>1.4</v>
      </c>
      <c r="K29" s="25">
        <v>5</v>
      </c>
      <c r="L29" s="7">
        <v>20</v>
      </c>
      <c r="M29" s="26">
        <f t="shared" si="0"/>
        <v>1000</v>
      </c>
      <c r="N29" s="26">
        <v>400</v>
      </c>
      <c r="O29" s="29"/>
      <c r="P29" s="28">
        <f>K29*N29+M29+50</f>
        <v>3050</v>
      </c>
      <c r="Q29" s="28">
        <f t="shared" si="1"/>
        <v>3050</v>
      </c>
      <c r="R29" s="34">
        <v>24</v>
      </c>
    </row>
    <row r="30" spans="2:18" ht="20.100000000000001" customHeight="1">
      <c r="B30" s="6">
        <v>25</v>
      </c>
      <c r="C30" s="14" t="s">
        <v>46</v>
      </c>
      <c r="D30" s="8">
        <v>1.4</v>
      </c>
      <c r="E30" s="8">
        <v>1.4</v>
      </c>
      <c r="F30" s="9">
        <v>1.4</v>
      </c>
      <c r="G30" s="8">
        <v>1</v>
      </c>
      <c r="H30" s="8">
        <v>1.4</v>
      </c>
      <c r="I30" s="8">
        <v>1.4</v>
      </c>
      <c r="J30" s="8">
        <v>1.4</v>
      </c>
      <c r="K30" s="25">
        <v>7</v>
      </c>
      <c r="L30" s="7">
        <v>24</v>
      </c>
      <c r="M30" s="26">
        <f t="shared" si="0"/>
        <v>1200</v>
      </c>
      <c r="N30" s="26">
        <v>400</v>
      </c>
      <c r="O30" s="29"/>
      <c r="P30" s="28">
        <f>K30*N30+M30+50</f>
        <v>4050</v>
      </c>
      <c r="Q30" s="28">
        <f t="shared" si="1"/>
        <v>4050</v>
      </c>
      <c r="R30" s="34">
        <v>25</v>
      </c>
    </row>
    <row r="31" spans="2:18" ht="20.100000000000001" customHeight="1">
      <c r="B31" s="6">
        <v>26</v>
      </c>
      <c r="C31" s="7" t="s">
        <v>47</v>
      </c>
      <c r="D31" s="8">
        <v>1.4</v>
      </c>
      <c r="E31" s="8">
        <v>1.4</v>
      </c>
      <c r="F31" s="9">
        <v>1.4</v>
      </c>
      <c r="G31" s="8">
        <v>1.4</v>
      </c>
      <c r="H31" s="8">
        <v>1.2</v>
      </c>
      <c r="I31" s="8">
        <v>1.4</v>
      </c>
      <c r="J31" s="8">
        <v>1.4</v>
      </c>
      <c r="K31" s="25">
        <v>7</v>
      </c>
      <c r="L31" s="7">
        <v>26</v>
      </c>
      <c r="M31" s="26">
        <f t="shared" si="0"/>
        <v>1300</v>
      </c>
      <c r="N31" s="26">
        <v>400</v>
      </c>
      <c r="O31" s="29"/>
      <c r="P31" s="28">
        <f>K31*N31+M31+50+50</f>
        <v>4200</v>
      </c>
      <c r="Q31" s="28">
        <f t="shared" si="1"/>
        <v>4200</v>
      </c>
      <c r="R31" s="34">
        <v>26</v>
      </c>
    </row>
    <row r="32" spans="2:18" ht="20.100000000000001" customHeight="1">
      <c r="B32" s="6">
        <v>27</v>
      </c>
      <c r="C32" s="7" t="s">
        <v>50</v>
      </c>
      <c r="D32" s="16"/>
      <c r="E32" s="16">
        <v>1.4</v>
      </c>
      <c r="F32" s="17">
        <v>1.7</v>
      </c>
      <c r="G32" s="16"/>
      <c r="H32" s="16">
        <v>2.7</v>
      </c>
      <c r="I32" s="16">
        <v>1</v>
      </c>
      <c r="J32" s="16">
        <v>1.3</v>
      </c>
      <c r="K32" s="25">
        <v>5</v>
      </c>
      <c r="L32" s="7">
        <v>29</v>
      </c>
      <c r="M32" s="26">
        <f t="shared" si="0"/>
        <v>1450</v>
      </c>
      <c r="N32" s="30">
        <v>400</v>
      </c>
      <c r="O32" s="31"/>
      <c r="P32" s="28">
        <f>K32*N32+M32+100</f>
        <v>3550</v>
      </c>
      <c r="Q32" s="28">
        <f t="shared" si="1"/>
        <v>3550</v>
      </c>
      <c r="R32" s="34">
        <v>27</v>
      </c>
    </row>
    <row r="33" spans="2:18" s="4" customFormat="1" ht="18.95" customHeight="1">
      <c r="B33" s="6">
        <v>28</v>
      </c>
      <c r="C33" s="18" t="s">
        <v>51</v>
      </c>
      <c r="D33" s="19">
        <v>1</v>
      </c>
      <c r="E33" s="20">
        <v>1</v>
      </c>
      <c r="F33" s="21"/>
      <c r="G33" s="20">
        <v>2</v>
      </c>
      <c r="H33" s="20">
        <v>2</v>
      </c>
      <c r="I33" s="20">
        <v>2</v>
      </c>
      <c r="J33" s="20">
        <v>1</v>
      </c>
      <c r="K33" s="25">
        <v>6</v>
      </c>
      <c r="L33" s="7">
        <v>24</v>
      </c>
      <c r="M33" s="26">
        <f t="shared" si="0"/>
        <v>1050</v>
      </c>
      <c r="N33" s="30">
        <v>350</v>
      </c>
      <c r="O33" s="32"/>
      <c r="P33" s="28">
        <f t="shared" si="2"/>
        <v>3150</v>
      </c>
      <c r="Q33" s="28">
        <f t="shared" si="1"/>
        <v>3150</v>
      </c>
      <c r="R33" s="34">
        <v>28</v>
      </c>
    </row>
    <row r="34" spans="2:18" s="4" customFormat="1" ht="18.95" customHeight="1">
      <c r="B34" s="6">
        <v>29</v>
      </c>
      <c r="C34" s="14" t="s">
        <v>52</v>
      </c>
      <c r="D34" s="22">
        <v>1.2</v>
      </c>
      <c r="E34" s="23"/>
      <c r="F34" s="24"/>
      <c r="G34" s="23"/>
      <c r="H34" s="23">
        <v>1</v>
      </c>
      <c r="I34" s="23">
        <v>1</v>
      </c>
      <c r="J34" s="23">
        <v>1</v>
      </c>
      <c r="K34" s="25">
        <v>4</v>
      </c>
      <c r="L34" s="7">
        <v>2</v>
      </c>
      <c r="M34" s="26">
        <f t="shared" si="0"/>
        <v>100</v>
      </c>
      <c r="N34" s="30">
        <v>400</v>
      </c>
      <c r="O34" s="32"/>
      <c r="P34" s="28">
        <f t="shared" si="2"/>
        <v>1700</v>
      </c>
      <c r="Q34" s="28">
        <f t="shared" si="1"/>
        <v>1700</v>
      </c>
      <c r="R34" s="34">
        <v>29</v>
      </c>
    </row>
    <row r="35" spans="2:18" s="4" customFormat="1" ht="18.95" customHeight="1">
      <c r="B35" s="6">
        <v>30</v>
      </c>
      <c r="C35" s="15" t="s">
        <v>53</v>
      </c>
      <c r="D35" s="22">
        <v>1.3</v>
      </c>
      <c r="E35" s="23">
        <v>1.3</v>
      </c>
      <c r="F35" s="24">
        <v>1.3</v>
      </c>
      <c r="G35" s="23">
        <v>1.3</v>
      </c>
      <c r="H35" s="23">
        <v>1.3</v>
      </c>
      <c r="I35" s="23">
        <v>1.3</v>
      </c>
      <c r="J35" s="23">
        <v>1.3</v>
      </c>
      <c r="K35" s="25">
        <v>7</v>
      </c>
      <c r="L35" s="7">
        <v>21</v>
      </c>
      <c r="M35" s="26">
        <f t="shared" si="0"/>
        <v>918.75</v>
      </c>
      <c r="N35" s="30">
        <v>350</v>
      </c>
      <c r="O35" s="32"/>
      <c r="P35" s="28">
        <f>K35*N35+M35+50</f>
        <v>3418.75</v>
      </c>
      <c r="Q35" s="28">
        <f t="shared" si="1"/>
        <v>3418.75</v>
      </c>
      <c r="R35" s="34">
        <v>30</v>
      </c>
    </row>
    <row r="36" spans="2:18" s="4" customFormat="1" ht="18.95" customHeight="1">
      <c r="B36" s="6">
        <v>31</v>
      </c>
      <c r="C36" s="15" t="s">
        <v>55</v>
      </c>
      <c r="D36" s="22"/>
      <c r="E36" s="23"/>
      <c r="F36" s="24"/>
      <c r="G36" s="23"/>
      <c r="H36" s="23">
        <v>1</v>
      </c>
      <c r="I36" s="23">
        <v>1</v>
      </c>
      <c r="J36" s="23">
        <v>1</v>
      </c>
      <c r="K36" s="25">
        <f>SUM(D36:J36)</f>
        <v>3</v>
      </c>
      <c r="L36" s="7"/>
      <c r="M36" s="26">
        <f t="shared" si="0"/>
        <v>0</v>
      </c>
      <c r="N36" s="30">
        <v>400</v>
      </c>
      <c r="O36" s="32"/>
      <c r="P36" s="28">
        <f t="shared" si="2"/>
        <v>1200</v>
      </c>
      <c r="Q36" s="28">
        <f t="shared" si="1"/>
        <v>1200</v>
      </c>
      <c r="R36" s="34">
        <v>31</v>
      </c>
    </row>
    <row r="37" spans="2:18" s="4" customFormat="1" ht="18.95" customHeight="1">
      <c r="B37" s="6">
        <v>32</v>
      </c>
      <c r="C37" s="7" t="s">
        <v>97</v>
      </c>
      <c r="D37" s="22"/>
      <c r="E37" s="23"/>
      <c r="F37" s="24"/>
      <c r="G37" s="23"/>
      <c r="H37" s="23"/>
      <c r="I37" s="23"/>
      <c r="J37" s="23"/>
      <c r="K37" s="25">
        <f>SUM(D37:J37)</f>
        <v>0</v>
      </c>
      <c r="L37" s="7"/>
      <c r="M37" s="26">
        <f t="shared" si="0"/>
        <v>0</v>
      </c>
      <c r="N37" s="30">
        <v>400</v>
      </c>
      <c r="O37" s="32"/>
      <c r="P37" s="28">
        <f t="shared" si="2"/>
        <v>0</v>
      </c>
      <c r="Q37" s="28">
        <f t="shared" si="1"/>
        <v>0</v>
      </c>
      <c r="R37" s="34">
        <v>32</v>
      </c>
    </row>
    <row r="38" spans="2:18" s="4" customFormat="1" ht="18.95" customHeight="1">
      <c r="B38" s="6">
        <v>33</v>
      </c>
      <c r="C38" s="7" t="s">
        <v>59</v>
      </c>
      <c r="D38" s="22">
        <v>1</v>
      </c>
      <c r="E38" s="23">
        <v>1</v>
      </c>
      <c r="F38" s="24"/>
      <c r="G38" s="23">
        <v>1</v>
      </c>
      <c r="H38" s="23">
        <v>1</v>
      </c>
      <c r="I38" s="23">
        <v>1</v>
      </c>
      <c r="J38" s="23">
        <v>1</v>
      </c>
      <c r="K38" s="25">
        <f>SUM(D38:J38)</f>
        <v>6</v>
      </c>
      <c r="L38" s="7"/>
      <c r="M38" s="26">
        <f t="shared" si="0"/>
        <v>0</v>
      </c>
      <c r="N38" s="30">
        <v>400</v>
      </c>
      <c r="O38" s="32"/>
      <c r="P38" s="28">
        <f t="shared" si="2"/>
        <v>2400</v>
      </c>
      <c r="Q38" s="28">
        <f t="shared" si="1"/>
        <v>2400</v>
      </c>
      <c r="R38" s="34">
        <v>33</v>
      </c>
    </row>
    <row r="39" spans="2:18" s="4" customFormat="1" ht="18.95" customHeight="1">
      <c r="B39" s="6">
        <v>34</v>
      </c>
      <c r="C39" s="7" t="s">
        <v>60</v>
      </c>
      <c r="D39" s="22">
        <v>1.4</v>
      </c>
      <c r="E39" s="23">
        <v>1.4</v>
      </c>
      <c r="F39" s="24"/>
      <c r="G39" s="23">
        <v>0.4</v>
      </c>
      <c r="H39" s="23">
        <v>1.4</v>
      </c>
      <c r="I39" s="23">
        <v>1.4</v>
      </c>
      <c r="J39" s="23">
        <v>1</v>
      </c>
      <c r="K39" s="25">
        <v>5</v>
      </c>
      <c r="L39" s="7">
        <v>20</v>
      </c>
      <c r="M39" s="26">
        <f t="shared" si="0"/>
        <v>1000</v>
      </c>
      <c r="N39" s="30">
        <v>400</v>
      </c>
      <c r="O39" s="32"/>
      <c r="P39" s="28">
        <f t="shared" si="2"/>
        <v>3000</v>
      </c>
      <c r="Q39" s="28">
        <f t="shared" si="1"/>
        <v>3000</v>
      </c>
      <c r="R39" s="34">
        <v>34</v>
      </c>
    </row>
    <row r="40" spans="2:18" s="4" customFormat="1" ht="18.95" customHeight="1">
      <c r="B40" s="6">
        <v>35</v>
      </c>
      <c r="C40" s="7" t="s">
        <v>63</v>
      </c>
      <c r="D40" s="22"/>
      <c r="E40" s="23">
        <v>1.4</v>
      </c>
      <c r="F40" s="24">
        <v>1.3</v>
      </c>
      <c r="G40" s="23">
        <v>1.3</v>
      </c>
      <c r="H40" s="23">
        <v>1.3</v>
      </c>
      <c r="I40" s="23">
        <v>1.3</v>
      </c>
      <c r="J40" s="23"/>
      <c r="K40" s="25">
        <v>5</v>
      </c>
      <c r="L40" s="7">
        <v>16</v>
      </c>
      <c r="M40" s="26">
        <f t="shared" si="0"/>
        <v>800</v>
      </c>
      <c r="N40" s="30">
        <v>400</v>
      </c>
      <c r="O40" s="32"/>
      <c r="P40" s="28">
        <f>K40*N40+M40+50</f>
        <v>2850</v>
      </c>
      <c r="Q40" s="28">
        <f t="shared" si="1"/>
        <v>2850</v>
      </c>
      <c r="R40" s="34">
        <v>35</v>
      </c>
    </row>
    <row r="41" spans="2:18" s="4" customFormat="1" ht="18.95" customHeight="1">
      <c r="B41" s="6">
        <v>36</v>
      </c>
      <c r="C41" s="15" t="s">
        <v>62</v>
      </c>
      <c r="D41" s="22"/>
      <c r="E41" s="23">
        <v>1.4</v>
      </c>
      <c r="F41" s="24">
        <v>1.4</v>
      </c>
      <c r="G41" s="23"/>
      <c r="H41" s="23">
        <v>1.4</v>
      </c>
      <c r="I41" s="23">
        <v>1.4</v>
      </c>
      <c r="J41" s="23">
        <v>1.4</v>
      </c>
      <c r="K41" s="25">
        <v>5</v>
      </c>
      <c r="L41" s="7">
        <v>20</v>
      </c>
      <c r="M41" s="26">
        <f t="shared" si="0"/>
        <v>1000</v>
      </c>
      <c r="N41" s="30">
        <v>400</v>
      </c>
      <c r="O41" s="32"/>
      <c r="P41" s="28">
        <f>K41*N41+M41+50</f>
        <v>3050</v>
      </c>
      <c r="Q41" s="28">
        <f t="shared" ref="Q41:Q69" si="3">P41-O41</f>
        <v>3050</v>
      </c>
      <c r="R41" s="34">
        <v>36</v>
      </c>
    </row>
    <row r="42" spans="2:18" s="4" customFormat="1" ht="18.95" customHeight="1">
      <c r="B42" s="6">
        <v>37</v>
      </c>
      <c r="C42" s="14" t="s">
        <v>64</v>
      </c>
      <c r="D42" s="22">
        <v>1.3</v>
      </c>
      <c r="E42" s="23">
        <v>1.3</v>
      </c>
      <c r="F42" s="24">
        <v>1.3</v>
      </c>
      <c r="G42" s="23">
        <v>1.3</v>
      </c>
      <c r="H42" s="23">
        <v>1.7</v>
      </c>
      <c r="I42" s="23">
        <v>1.3</v>
      </c>
      <c r="J42" s="23">
        <v>1.3</v>
      </c>
      <c r="K42" s="25">
        <v>7</v>
      </c>
      <c r="L42" s="7">
        <v>25</v>
      </c>
      <c r="M42" s="26">
        <f t="shared" si="0"/>
        <v>1562.5</v>
      </c>
      <c r="N42" s="30">
        <v>500</v>
      </c>
      <c r="O42" s="32"/>
      <c r="P42" s="28">
        <f>K42*N42+M42+50</f>
        <v>5112.5</v>
      </c>
      <c r="Q42" s="28">
        <f t="shared" si="3"/>
        <v>5112.5</v>
      </c>
      <c r="R42" s="34">
        <v>37</v>
      </c>
    </row>
    <row r="43" spans="2:18" s="4" customFormat="1" ht="18.95" customHeight="1">
      <c r="B43" s="6">
        <v>38</v>
      </c>
      <c r="C43" s="7" t="s">
        <v>58</v>
      </c>
      <c r="D43" s="22">
        <v>1</v>
      </c>
      <c r="E43" s="23">
        <v>2</v>
      </c>
      <c r="F43" s="24">
        <v>2.2999999999999998</v>
      </c>
      <c r="G43" s="23">
        <v>1</v>
      </c>
      <c r="H43" s="23">
        <v>1</v>
      </c>
      <c r="I43" s="23">
        <v>1</v>
      </c>
      <c r="J43" s="23">
        <v>1</v>
      </c>
      <c r="K43" s="25">
        <v>7</v>
      </c>
      <c r="L43" s="7">
        <v>19</v>
      </c>
      <c r="M43" s="26">
        <f t="shared" si="0"/>
        <v>950</v>
      </c>
      <c r="N43" s="30">
        <v>400</v>
      </c>
      <c r="O43" s="32"/>
      <c r="P43" s="28">
        <f>K43*N43+M43+100</f>
        <v>3850</v>
      </c>
      <c r="Q43" s="28">
        <f t="shared" si="3"/>
        <v>3850</v>
      </c>
      <c r="R43" s="34">
        <v>38</v>
      </c>
    </row>
    <row r="44" spans="2:18" s="4" customFormat="1" ht="18.95" customHeight="1">
      <c r="B44" s="6">
        <v>39</v>
      </c>
      <c r="C44" s="7" t="s">
        <v>98</v>
      </c>
      <c r="D44" s="22"/>
      <c r="E44" s="23"/>
      <c r="F44" s="24"/>
      <c r="G44" s="23"/>
      <c r="H44" s="23"/>
      <c r="I44" s="23"/>
      <c r="J44" s="23"/>
      <c r="K44" s="25">
        <f>SUM(D44:J44)</f>
        <v>0</v>
      </c>
      <c r="L44" s="7"/>
      <c r="M44" s="26">
        <f t="shared" si="0"/>
        <v>0</v>
      </c>
      <c r="N44" s="30">
        <v>400</v>
      </c>
      <c r="O44" s="32"/>
      <c r="P44" s="28">
        <f t="shared" ref="P44:P69" si="4">K44*N44+M44</f>
        <v>0</v>
      </c>
      <c r="Q44" s="28">
        <f t="shared" si="3"/>
        <v>0</v>
      </c>
      <c r="R44" s="34">
        <v>39</v>
      </c>
    </row>
    <row r="45" spans="2:18" s="4" customFormat="1" ht="18.95" customHeight="1">
      <c r="B45" s="6">
        <v>40</v>
      </c>
      <c r="C45" s="7" t="s">
        <v>67</v>
      </c>
      <c r="D45" s="22"/>
      <c r="E45" s="23">
        <v>1</v>
      </c>
      <c r="F45" s="24">
        <v>1</v>
      </c>
      <c r="G45" s="23"/>
      <c r="H45" s="23"/>
      <c r="I45" s="23">
        <v>1</v>
      </c>
      <c r="J45" s="23"/>
      <c r="K45" s="25">
        <f>SUM(D45:J45)</f>
        <v>3</v>
      </c>
      <c r="L45" s="7"/>
      <c r="M45" s="26">
        <f t="shared" si="0"/>
        <v>0</v>
      </c>
      <c r="N45" s="30">
        <v>400</v>
      </c>
      <c r="O45" s="32"/>
      <c r="P45" s="28">
        <f>K45*N45+M45+50</f>
        <v>1250</v>
      </c>
      <c r="Q45" s="28">
        <f t="shared" si="3"/>
        <v>1250</v>
      </c>
      <c r="R45" s="34">
        <v>40</v>
      </c>
    </row>
    <row r="46" spans="2:18" s="4" customFormat="1" ht="18.95" customHeight="1">
      <c r="B46" s="6">
        <v>41</v>
      </c>
      <c r="C46" s="7" t="s">
        <v>65</v>
      </c>
      <c r="D46" s="22">
        <v>1.4</v>
      </c>
      <c r="E46" s="23">
        <v>1.4</v>
      </c>
      <c r="F46" s="24"/>
      <c r="G46" s="23"/>
      <c r="H46" s="23">
        <v>1.4</v>
      </c>
      <c r="I46" s="23">
        <v>1</v>
      </c>
      <c r="J46" s="23">
        <v>1.4</v>
      </c>
      <c r="K46" s="25">
        <v>5</v>
      </c>
      <c r="L46" s="7">
        <v>16</v>
      </c>
      <c r="M46" s="26">
        <f t="shared" ref="M46:M69" si="5">N46/8*L46</f>
        <v>800</v>
      </c>
      <c r="N46" s="30">
        <v>400</v>
      </c>
      <c r="O46" s="32"/>
      <c r="P46" s="28">
        <f t="shared" si="4"/>
        <v>2800</v>
      </c>
      <c r="Q46" s="28">
        <f t="shared" si="3"/>
        <v>2800</v>
      </c>
      <c r="R46" s="34">
        <v>41</v>
      </c>
    </row>
    <row r="47" spans="2:18" s="4" customFormat="1" ht="18.95" customHeight="1">
      <c r="B47" s="6">
        <v>42</v>
      </c>
      <c r="C47" s="14" t="s">
        <v>68</v>
      </c>
      <c r="D47" s="22">
        <v>1</v>
      </c>
      <c r="E47" s="23">
        <v>1</v>
      </c>
      <c r="F47" s="24"/>
      <c r="G47" s="23">
        <v>1</v>
      </c>
      <c r="H47" s="23">
        <v>1</v>
      </c>
      <c r="I47" s="23">
        <v>1</v>
      </c>
      <c r="J47" s="23"/>
      <c r="K47" s="25">
        <f>SUM(D47:J47)</f>
        <v>5</v>
      </c>
      <c r="L47" s="7"/>
      <c r="M47" s="26">
        <f t="shared" si="5"/>
        <v>0</v>
      </c>
      <c r="N47" s="30">
        <v>400</v>
      </c>
      <c r="O47" s="32"/>
      <c r="P47" s="28">
        <f t="shared" si="4"/>
        <v>2000</v>
      </c>
      <c r="Q47" s="28">
        <f t="shared" si="3"/>
        <v>2000</v>
      </c>
      <c r="R47" s="34">
        <v>42</v>
      </c>
    </row>
    <row r="48" spans="2:18" s="4" customFormat="1" ht="18.95" customHeight="1">
      <c r="B48" s="6">
        <v>43</v>
      </c>
      <c r="C48" s="14" t="s">
        <v>70</v>
      </c>
      <c r="D48" s="22">
        <v>1</v>
      </c>
      <c r="E48" s="23"/>
      <c r="F48" s="24">
        <v>0.4</v>
      </c>
      <c r="G48" s="23">
        <v>2</v>
      </c>
      <c r="H48" s="23">
        <v>1.4</v>
      </c>
      <c r="I48" s="23">
        <v>1.4</v>
      </c>
      <c r="J48" s="23">
        <v>1.4</v>
      </c>
      <c r="K48" s="25">
        <v>5</v>
      </c>
      <c r="L48" s="7">
        <v>24</v>
      </c>
      <c r="M48" s="26">
        <f t="shared" si="5"/>
        <v>1200</v>
      </c>
      <c r="N48" s="30">
        <v>400</v>
      </c>
      <c r="O48" s="32"/>
      <c r="P48" s="28">
        <f t="shared" si="4"/>
        <v>3200</v>
      </c>
      <c r="Q48" s="28">
        <f t="shared" si="3"/>
        <v>3200</v>
      </c>
      <c r="R48" s="34">
        <v>43</v>
      </c>
    </row>
    <row r="49" spans="2:18" s="4" customFormat="1" ht="18.95" customHeight="1">
      <c r="B49" s="6">
        <v>44</v>
      </c>
      <c r="C49" s="14" t="s">
        <v>99</v>
      </c>
      <c r="D49" s="22"/>
      <c r="E49" s="23"/>
      <c r="F49" s="24"/>
      <c r="G49" s="23"/>
      <c r="H49" s="23"/>
      <c r="I49" s="23"/>
      <c r="J49" s="23"/>
      <c r="K49" s="25">
        <f>SUM(D49:J49)</f>
        <v>0</v>
      </c>
      <c r="L49" s="7"/>
      <c r="M49" s="26">
        <f t="shared" si="5"/>
        <v>0</v>
      </c>
      <c r="N49" s="30">
        <v>400</v>
      </c>
      <c r="O49" s="32"/>
      <c r="P49" s="28">
        <f t="shared" si="4"/>
        <v>0</v>
      </c>
      <c r="Q49" s="28">
        <f t="shared" si="3"/>
        <v>0</v>
      </c>
      <c r="R49" s="34">
        <v>44</v>
      </c>
    </row>
    <row r="50" spans="2:18" s="4" customFormat="1" ht="18.95" customHeight="1">
      <c r="B50" s="6">
        <v>45</v>
      </c>
      <c r="C50" s="14" t="s">
        <v>72</v>
      </c>
      <c r="D50" s="22">
        <v>1</v>
      </c>
      <c r="E50" s="23"/>
      <c r="F50" s="24"/>
      <c r="G50" s="23">
        <v>1</v>
      </c>
      <c r="H50" s="23">
        <v>1</v>
      </c>
      <c r="I50" s="23"/>
      <c r="J50" s="23">
        <v>1</v>
      </c>
      <c r="K50" s="25">
        <f>SUM(D50:J50)</f>
        <v>4</v>
      </c>
      <c r="L50" s="7"/>
      <c r="M50" s="26">
        <f t="shared" si="5"/>
        <v>0</v>
      </c>
      <c r="N50" s="30">
        <v>400</v>
      </c>
      <c r="O50" s="32"/>
      <c r="P50" s="28">
        <f t="shared" si="4"/>
        <v>1600</v>
      </c>
      <c r="Q50" s="28">
        <f t="shared" si="3"/>
        <v>1600</v>
      </c>
      <c r="R50" s="34">
        <v>45</v>
      </c>
    </row>
    <row r="51" spans="2:18" s="4" customFormat="1" ht="18.95" customHeight="1">
      <c r="B51" s="6">
        <v>46</v>
      </c>
      <c r="C51" s="14" t="s">
        <v>74</v>
      </c>
      <c r="D51" s="22">
        <v>1</v>
      </c>
      <c r="E51" s="23">
        <v>1</v>
      </c>
      <c r="F51" s="24"/>
      <c r="G51" s="23">
        <v>1</v>
      </c>
      <c r="H51" s="23">
        <v>1</v>
      </c>
      <c r="I51" s="23">
        <v>1</v>
      </c>
      <c r="J51" s="23">
        <v>1</v>
      </c>
      <c r="K51" s="25">
        <f>SUM(D51:J51)</f>
        <v>6</v>
      </c>
      <c r="L51" s="7"/>
      <c r="M51" s="26">
        <f t="shared" si="5"/>
        <v>0</v>
      </c>
      <c r="N51" s="30">
        <v>400</v>
      </c>
      <c r="O51" s="32"/>
      <c r="P51" s="28">
        <f t="shared" si="4"/>
        <v>2400</v>
      </c>
      <c r="Q51" s="28">
        <f t="shared" si="3"/>
        <v>2400</v>
      </c>
      <c r="R51" s="34">
        <v>46</v>
      </c>
    </row>
    <row r="52" spans="2:18" s="4" customFormat="1" ht="18.95" customHeight="1">
      <c r="B52" s="6">
        <v>47</v>
      </c>
      <c r="C52" s="14" t="s">
        <v>75</v>
      </c>
      <c r="D52" s="22">
        <v>1.4</v>
      </c>
      <c r="E52" s="23">
        <v>1.4</v>
      </c>
      <c r="F52" s="24"/>
      <c r="G52" s="23"/>
      <c r="H52" s="23">
        <v>1.4</v>
      </c>
      <c r="I52" s="23">
        <v>1.4</v>
      </c>
      <c r="J52" s="23"/>
      <c r="K52" s="25">
        <v>4</v>
      </c>
      <c r="L52" s="7">
        <v>16</v>
      </c>
      <c r="M52" s="26">
        <f t="shared" si="5"/>
        <v>800</v>
      </c>
      <c r="N52" s="30">
        <v>400</v>
      </c>
      <c r="O52" s="32"/>
      <c r="P52" s="28">
        <f t="shared" si="4"/>
        <v>2400</v>
      </c>
      <c r="Q52" s="28">
        <f t="shared" si="3"/>
        <v>2400</v>
      </c>
      <c r="R52" s="34">
        <v>47</v>
      </c>
    </row>
    <row r="53" spans="2:18" s="4" customFormat="1" ht="18.95" customHeight="1">
      <c r="B53" s="6">
        <v>48</v>
      </c>
      <c r="C53" s="14" t="s">
        <v>76</v>
      </c>
      <c r="D53" s="22"/>
      <c r="E53" s="23">
        <v>1</v>
      </c>
      <c r="F53" s="24">
        <v>1.4</v>
      </c>
      <c r="G53" s="23">
        <v>2</v>
      </c>
      <c r="H53" s="23">
        <v>2</v>
      </c>
      <c r="I53" s="23">
        <v>2</v>
      </c>
      <c r="J53" s="23">
        <v>2</v>
      </c>
      <c r="K53" s="25">
        <v>6</v>
      </c>
      <c r="L53" s="7">
        <v>36</v>
      </c>
      <c r="M53" s="26">
        <f t="shared" si="5"/>
        <v>1800</v>
      </c>
      <c r="N53" s="30">
        <v>400</v>
      </c>
      <c r="O53" s="32"/>
      <c r="P53" s="28">
        <f t="shared" ref="P53:P58" si="6">K53*N53+M53+50</f>
        <v>4250</v>
      </c>
      <c r="Q53" s="28">
        <f t="shared" si="3"/>
        <v>4250</v>
      </c>
      <c r="R53" s="34">
        <v>48</v>
      </c>
    </row>
    <row r="54" spans="2:18" s="4" customFormat="1" ht="18.95" customHeight="1">
      <c r="B54" s="6">
        <v>49</v>
      </c>
      <c r="C54" s="14" t="s">
        <v>24</v>
      </c>
      <c r="D54" s="22"/>
      <c r="E54" s="23">
        <v>1.4</v>
      </c>
      <c r="F54" s="24">
        <v>1.4</v>
      </c>
      <c r="G54" s="23"/>
      <c r="H54" s="23">
        <v>0.4</v>
      </c>
      <c r="I54" s="23">
        <v>1.4</v>
      </c>
      <c r="J54" s="23">
        <v>1</v>
      </c>
      <c r="K54" s="25">
        <v>4</v>
      </c>
      <c r="L54" s="7">
        <v>16</v>
      </c>
      <c r="M54" s="26">
        <f t="shared" si="5"/>
        <v>800</v>
      </c>
      <c r="N54" s="30">
        <v>400</v>
      </c>
      <c r="O54" s="32"/>
      <c r="P54" s="28">
        <f t="shared" si="6"/>
        <v>2450</v>
      </c>
      <c r="Q54" s="28">
        <f t="shared" si="3"/>
        <v>2450</v>
      </c>
      <c r="R54" s="34">
        <v>49</v>
      </c>
    </row>
    <row r="55" spans="2:18" s="4" customFormat="1" ht="18.95" customHeight="1">
      <c r="B55" s="6">
        <v>50</v>
      </c>
      <c r="C55" s="14" t="s">
        <v>25</v>
      </c>
      <c r="D55" s="22">
        <v>1</v>
      </c>
      <c r="E55" s="23">
        <v>1</v>
      </c>
      <c r="F55" s="24">
        <v>1</v>
      </c>
      <c r="G55" s="23"/>
      <c r="H55" s="23">
        <v>1</v>
      </c>
      <c r="I55" s="23"/>
      <c r="J55" s="23"/>
      <c r="K55" s="25">
        <f>SUM(D55:J55)</f>
        <v>4</v>
      </c>
      <c r="L55" s="7"/>
      <c r="M55" s="26">
        <f t="shared" si="5"/>
        <v>0</v>
      </c>
      <c r="N55" s="30">
        <v>400</v>
      </c>
      <c r="O55" s="32"/>
      <c r="P55" s="28">
        <f t="shared" si="6"/>
        <v>1650</v>
      </c>
      <c r="Q55" s="28">
        <f t="shared" si="3"/>
        <v>1650</v>
      </c>
      <c r="R55" s="34">
        <v>50</v>
      </c>
    </row>
    <row r="56" spans="2:18" s="4" customFormat="1" ht="18.95" customHeight="1">
      <c r="B56" s="6">
        <v>51</v>
      </c>
      <c r="C56" s="14" t="s">
        <v>29</v>
      </c>
      <c r="D56" s="22">
        <v>1</v>
      </c>
      <c r="E56" s="23">
        <v>0.4</v>
      </c>
      <c r="F56" s="24">
        <v>1.3</v>
      </c>
      <c r="G56" s="23"/>
      <c r="H56" s="23">
        <v>1.2</v>
      </c>
      <c r="I56" s="23">
        <v>1</v>
      </c>
      <c r="J56" s="23">
        <v>1.3</v>
      </c>
      <c r="K56" s="25">
        <v>5</v>
      </c>
      <c r="L56" s="7">
        <v>12</v>
      </c>
      <c r="M56" s="26">
        <f t="shared" si="5"/>
        <v>600</v>
      </c>
      <c r="N56" s="30">
        <v>400</v>
      </c>
      <c r="O56" s="32"/>
      <c r="P56" s="28">
        <f t="shared" si="6"/>
        <v>2650</v>
      </c>
      <c r="Q56" s="28">
        <f t="shared" si="3"/>
        <v>2650</v>
      </c>
      <c r="R56" s="34">
        <v>51</v>
      </c>
    </row>
    <row r="57" spans="2:18" s="4" customFormat="1" ht="18.95" customHeight="1">
      <c r="B57" s="6">
        <v>52</v>
      </c>
      <c r="C57" s="14" t="s">
        <v>100</v>
      </c>
      <c r="D57" s="22"/>
      <c r="E57" s="23">
        <v>1</v>
      </c>
      <c r="F57" s="24">
        <v>1</v>
      </c>
      <c r="G57" s="23">
        <v>1</v>
      </c>
      <c r="H57" s="23">
        <v>1</v>
      </c>
      <c r="I57" s="23">
        <v>1</v>
      </c>
      <c r="J57" s="23">
        <v>1</v>
      </c>
      <c r="K57" s="25">
        <f>SUM(D57:J57)</f>
        <v>6</v>
      </c>
      <c r="L57" s="7"/>
      <c r="M57" s="26">
        <f t="shared" si="5"/>
        <v>0</v>
      </c>
      <c r="N57" s="30">
        <v>400</v>
      </c>
      <c r="O57" s="32"/>
      <c r="P57" s="28">
        <f t="shared" si="6"/>
        <v>2450</v>
      </c>
      <c r="Q57" s="28">
        <f t="shared" si="3"/>
        <v>2450</v>
      </c>
      <c r="R57" s="34">
        <v>52</v>
      </c>
    </row>
    <row r="58" spans="2:18" s="4" customFormat="1" ht="18.95" customHeight="1">
      <c r="B58" s="6">
        <v>53</v>
      </c>
      <c r="C58" s="14" t="s">
        <v>48</v>
      </c>
      <c r="D58" s="22"/>
      <c r="E58" s="23">
        <v>1.4</v>
      </c>
      <c r="F58" s="24">
        <v>1.4</v>
      </c>
      <c r="G58" s="23"/>
      <c r="H58" s="23">
        <v>0.4</v>
      </c>
      <c r="I58" s="23">
        <v>1.4</v>
      </c>
      <c r="J58" s="23">
        <v>1</v>
      </c>
      <c r="K58" s="25">
        <v>4</v>
      </c>
      <c r="L58" s="7">
        <v>16</v>
      </c>
      <c r="M58" s="26">
        <f t="shared" si="5"/>
        <v>800</v>
      </c>
      <c r="N58" s="30">
        <v>400</v>
      </c>
      <c r="O58" s="32"/>
      <c r="P58" s="28">
        <f t="shared" si="6"/>
        <v>2450</v>
      </c>
      <c r="Q58" s="28">
        <f t="shared" si="3"/>
        <v>2450</v>
      </c>
      <c r="R58" s="34">
        <v>53</v>
      </c>
    </row>
    <row r="59" spans="2:18" s="4" customFormat="1" ht="18.95" customHeight="1">
      <c r="B59" s="6">
        <v>54</v>
      </c>
      <c r="C59" s="14" t="s">
        <v>49</v>
      </c>
      <c r="D59" s="22">
        <v>1</v>
      </c>
      <c r="E59" s="23">
        <v>0.4</v>
      </c>
      <c r="F59" s="24"/>
      <c r="G59" s="23"/>
      <c r="H59" s="23">
        <v>1.2</v>
      </c>
      <c r="I59" s="23">
        <v>1.3</v>
      </c>
      <c r="J59" s="23">
        <v>1.3</v>
      </c>
      <c r="K59" s="25">
        <v>4</v>
      </c>
      <c r="L59" s="7">
        <v>12</v>
      </c>
      <c r="M59" s="26">
        <f t="shared" si="5"/>
        <v>600</v>
      </c>
      <c r="N59" s="30">
        <v>400</v>
      </c>
      <c r="O59" s="32"/>
      <c r="P59" s="28">
        <f t="shared" si="4"/>
        <v>2200</v>
      </c>
      <c r="Q59" s="28">
        <f t="shared" si="3"/>
        <v>2200</v>
      </c>
      <c r="R59" s="34">
        <v>54</v>
      </c>
    </row>
    <row r="60" spans="2:18" s="4" customFormat="1" ht="18.95" customHeight="1">
      <c r="B60" s="6">
        <v>55</v>
      </c>
      <c r="C60" s="14" t="s">
        <v>66</v>
      </c>
      <c r="D60" s="22">
        <v>1</v>
      </c>
      <c r="E60" s="23">
        <v>1.4</v>
      </c>
      <c r="F60" s="24">
        <v>1.4</v>
      </c>
      <c r="G60" s="23">
        <v>0.4</v>
      </c>
      <c r="H60" s="23">
        <v>1.4</v>
      </c>
      <c r="I60" s="23">
        <v>1.4</v>
      </c>
      <c r="J60" s="23">
        <v>1.4</v>
      </c>
      <c r="K60" s="25">
        <v>6</v>
      </c>
      <c r="L60" s="7">
        <v>24</v>
      </c>
      <c r="M60" s="26">
        <f t="shared" si="5"/>
        <v>1200</v>
      </c>
      <c r="N60" s="30">
        <v>400</v>
      </c>
      <c r="O60" s="32"/>
      <c r="P60" s="28">
        <f>K60*N60+M60+50</f>
        <v>3650</v>
      </c>
      <c r="Q60" s="28">
        <f t="shared" si="3"/>
        <v>3650</v>
      </c>
      <c r="R60" s="34">
        <v>55</v>
      </c>
    </row>
    <row r="61" spans="2:18" s="4" customFormat="1" ht="18.95" customHeight="1">
      <c r="B61" s="6">
        <v>56</v>
      </c>
      <c r="C61" s="14" t="s">
        <v>61</v>
      </c>
      <c r="D61" s="22"/>
      <c r="E61" s="23">
        <v>1.3</v>
      </c>
      <c r="F61" s="24">
        <v>1.3</v>
      </c>
      <c r="G61" s="23">
        <v>1.3</v>
      </c>
      <c r="H61" s="23">
        <v>1.3</v>
      </c>
      <c r="I61" s="23">
        <v>1.3</v>
      </c>
      <c r="J61" s="23"/>
      <c r="K61" s="25">
        <v>5</v>
      </c>
      <c r="L61" s="7">
        <v>15</v>
      </c>
      <c r="M61" s="26">
        <f t="shared" si="5"/>
        <v>750</v>
      </c>
      <c r="N61" s="30">
        <v>400</v>
      </c>
      <c r="O61" s="32"/>
      <c r="P61" s="28">
        <f>K61*N61+M61+50</f>
        <v>2800</v>
      </c>
      <c r="Q61" s="28">
        <f t="shared" si="3"/>
        <v>2800</v>
      </c>
      <c r="R61" s="34">
        <v>56</v>
      </c>
    </row>
    <row r="62" spans="2:18" s="4" customFormat="1" ht="18.95" customHeight="1">
      <c r="B62" s="6">
        <v>57</v>
      </c>
      <c r="C62" s="14" t="s">
        <v>71</v>
      </c>
      <c r="D62" s="22">
        <v>1.4</v>
      </c>
      <c r="E62" s="23">
        <v>1.4</v>
      </c>
      <c r="F62" s="24">
        <v>1.4</v>
      </c>
      <c r="G62" s="23"/>
      <c r="H62" s="23"/>
      <c r="I62" s="23"/>
      <c r="J62" s="23"/>
      <c r="K62" s="25">
        <v>3</v>
      </c>
      <c r="L62" s="7">
        <v>12</v>
      </c>
      <c r="M62" s="26">
        <f t="shared" si="5"/>
        <v>600</v>
      </c>
      <c r="N62" s="30">
        <v>400</v>
      </c>
      <c r="O62" s="32"/>
      <c r="P62" s="28">
        <f>K62*N62+M62+50</f>
        <v>1850</v>
      </c>
      <c r="Q62" s="28">
        <f t="shared" si="3"/>
        <v>1850</v>
      </c>
      <c r="R62" s="34">
        <v>57</v>
      </c>
    </row>
    <row r="63" spans="2:18" s="4" customFormat="1" ht="18.95" customHeight="1">
      <c r="B63" s="6">
        <v>58</v>
      </c>
      <c r="C63" s="14" t="s">
        <v>73</v>
      </c>
      <c r="D63" s="22">
        <v>1</v>
      </c>
      <c r="E63" s="23">
        <v>1</v>
      </c>
      <c r="F63" s="24"/>
      <c r="G63" s="23">
        <v>1</v>
      </c>
      <c r="H63" s="23"/>
      <c r="I63" s="23">
        <v>1</v>
      </c>
      <c r="J63" s="23">
        <v>1</v>
      </c>
      <c r="K63" s="25">
        <f>SUM(D63:J63)</f>
        <v>5</v>
      </c>
      <c r="L63" s="7"/>
      <c r="M63" s="26">
        <f t="shared" si="5"/>
        <v>0</v>
      </c>
      <c r="N63" s="30">
        <v>400</v>
      </c>
      <c r="O63" s="32"/>
      <c r="P63" s="28">
        <f t="shared" si="4"/>
        <v>2000</v>
      </c>
      <c r="Q63" s="28">
        <f t="shared" si="3"/>
        <v>2000</v>
      </c>
      <c r="R63" s="34">
        <v>58</v>
      </c>
    </row>
    <row r="64" spans="2:18" s="4" customFormat="1" ht="18.95" customHeight="1">
      <c r="B64" s="6">
        <v>59</v>
      </c>
      <c r="C64" s="14" t="s">
        <v>92</v>
      </c>
      <c r="D64" s="22">
        <v>1</v>
      </c>
      <c r="E64" s="23">
        <v>1</v>
      </c>
      <c r="F64" s="24">
        <v>2</v>
      </c>
      <c r="G64" s="23">
        <v>2</v>
      </c>
      <c r="H64" s="23">
        <v>1</v>
      </c>
      <c r="I64" s="23">
        <v>2</v>
      </c>
      <c r="J64" s="23">
        <v>1</v>
      </c>
      <c r="K64" s="25">
        <v>7</v>
      </c>
      <c r="L64" s="7">
        <v>24</v>
      </c>
      <c r="M64" s="26">
        <f t="shared" si="5"/>
        <v>1200</v>
      </c>
      <c r="N64" s="30">
        <v>400</v>
      </c>
      <c r="O64" s="32"/>
      <c r="P64" s="28">
        <f>K64*N64+M64+100</f>
        <v>4100</v>
      </c>
      <c r="Q64" s="28">
        <f t="shared" si="3"/>
        <v>4100</v>
      </c>
      <c r="R64" s="34">
        <v>59</v>
      </c>
    </row>
    <row r="65" spans="2:18" s="4" customFormat="1" ht="18.95" customHeight="1">
      <c r="B65" s="6">
        <v>60</v>
      </c>
      <c r="C65" s="14" t="s">
        <v>21</v>
      </c>
      <c r="D65" s="22">
        <v>1.3</v>
      </c>
      <c r="E65" s="23">
        <v>1.3</v>
      </c>
      <c r="F65" s="24"/>
      <c r="G65" s="23">
        <v>1.4</v>
      </c>
      <c r="H65" s="23">
        <v>1.3</v>
      </c>
      <c r="I65" s="23">
        <v>1.3</v>
      </c>
      <c r="J65" s="23">
        <v>1.3</v>
      </c>
      <c r="K65" s="25">
        <v>6</v>
      </c>
      <c r="L65" s="7">
        <v>19</v>
      </c>
      <c r="M65" s="26">
        <f t="shared" si="5"/>
        <v>950</v>
      </c>
      <c r="N65" s="30">
        <v>400</v>
      </c>
      <c r="O65" s="32"/>
      <c r="P65" s="28">
        <f t="shared" si="4"/>
        <v>3350</v>
      </c>
      <c r="Q65" s="28">
        <f t="shared" si="3"/>
        <v>3350</v>
      </c>
      <c r="R65" s="34">
        <v>60</v>
      </c>
    </row>
    <row r="66" spans="2:18" s="4" customFormat="1" ht="18.95" customHeight="1">
      <c r="B66" s="6">
        <v>61</v>
      </c>
      <c r="C66" s="14" t="s">
        <v>56</v>
      </c>
      <c r="D66" s="22">
        <v>1.4</v>
      </c>
      <c r="E66" s="23">
        <v>1.4</v>
      </c>
      <c r="F66" s="9">
        <v>0.4</v>
      </c>
      <c r="G66" s="23">
        <v>0.2</v>
      </c>
      <c r="H66" s="23">
        <v>1.3</v>
      </c>
      <c r="I66" s="23">
        <v>1.3</v>
      </c>
      <c r="J66" s="23">
        <v>1.3</v>
      </c>
      <c r="K66" s="25">
        <v>5</v>
      </c>
      <c r="L66" s="7">
        <v>23</v>
      </c>
      <c r="M66" s="26">
        <f t="shared" si="5"/>
        <v>1150</v>
      </c>
      <c r="N66" s="30">
        <v>400</v>
      </c>
      <c r="O66" s="32"/>
      <c r="P66" s="28">
        <f t="shared" si="4"/>
        <v>3150</v>
      </c>
      <c r="Q66" s="28">
        <f t="shared" si="3"/>
        <v>3150</v>
      </c>
      <c r="R66" s="34">
        <v>61</v>
      </c>
    </row>
    <row r="67" spans="2:18" s="4" customFormat="1" ht="18.95" customHeight="1">
      <c r="B67" s="6">
        <v>62</v>
      </c>
      <c r="C67" s="14" t="s">
        <v>36</v>
      </c>
      <c r="D67" s="26"/>
      <c r="E67" s="26"/>
      <c r="F67" s="35"/>
      <c r="G67" s="26"/>
      <c r="H67" s="26"/>
      <c r="I67" s="26"/>
      <c r="J67" s="26"/>
      <c r="K67" s="25">
        <f>SUM(D67:J67)</f>
        <v>0</v>
      </c>
      <c r="L67" s="7"/>
      <c r="M67" s="26">
        <f t="shared" si="5"/>
        <v>0</v>
      </c>
      <c r="N67" s="30">
        <v>500</v>
      </c>
      <c r="O67" s="32"/>
      <c r="P67" s="28">
        <f t="shared" si="4"/>
        <v>0</v>
      </c>
      <c r="Q67" s="28">
        <f t="shared" si="3"/>
        <v>0</v>
      </c>
      <c r="R67" s="34">
        <v>62</v>
      </c>
    </row>
    <row r="68" spans="2:18" s="4" customFormat="1" ht="18.95" customHeight="1">
      <c r="B68" s="6">
        <v>63</v>
      </c>
      <c r="C68" s="14" t="s">
        <v>42</v>
      </c>
      <c r="D68" s="26">
        <v>1.4</v>
      </c>
      <c r="E68" s="26">
        <v>1.4</v>
      </c>
      <c r="F68" s="35">
        <v>0.4</v>
      </c>
      <c r="G68" s="26">
        <v>1.4</v>
      </c>
      <c r="H68" s="26">
        <v>1.4</v>
      </c>
      <c r="I68" s="26">
        <v>1.4</v>
      </c>
      <c r="J68" s="26">
        <v>1.4</v>
      </c>
      <c r="K68" s="25">
        <v>6</v>
      </c>
      <c r="L68" s="7">
        <v>28</v>
      </c>
      <c r="M68" s="26">
        <f t="shared" si="5"/>
        <v>1400</v>
      </c>
      <c r="N68" s="30">
        <v>400</v>
      </c>
      <c r="O68" s="32"/>
      <c r="P68" s="28">
        <f t="shared" si="4"/>
        <v>3800</v>
      </c>
      <c r="Q68" s="28">
        <f t="shared" si="3"/>
        <v>3800</v>
      </c>
      <c r="R68" s="34">
        <v>63</v>
      </c>
    </row>
    <row r="69" spans="2:18" s="4" customFormat="1" ht="18.95" customHeight="1">
      <c r="B69" s="6">
        <v>64</v>
      </c>
      <c r="C69" s="14" t="s">
        <v>43</v>
      </c>
      <c r="D69" s="26"/>
      <c r="E69" s="26">
        <v>1.3</v>
      </c>
      <c r="F69" s="35"/>
      <c r="G69" s="26"/>
      <c r="H69" s="26">
        <v>1.3</v>
      </c>
      <c r="I69" s="26">
        <v>1.3</v>
      </c>
      <c r="J69" s="26"/>
      <c r="K69" s="25">
        <v>3</v>
      </c>
      <c r="L69" s="7">
        <v>9</v>
      </c>
      <c r="M69" s="26">
        <f t="shared" si="5"/>
        <v>450</v>
      </c>
      <c r="N69" s="30">
        <v>400</v>
      </c>
      <c r="O69" s="32"/>
      <c r="P69" s="28">
        <f t="shared" si="4"/>
        <v>1650</v>
      </c>
      <c r="Q69" s="28">
        <f t="shared" si="3"/>
        <v>1650</v>
      </c>
      <c r="R69" s="34">
        <v>64</v>
      </c>
    </row>
    <row r="70" spans="2:18" s="4" customFormat="1" ht="18.95" customHeight="1">
      <c r="B70" s="6"/>
      <c r="C70" s="14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30"/>
      <c r="O70" s="32"/>
      <c r="P70" s="28"/>
      <c r="Q70" s="28"/>
      <c r="R70" s="34"/>
    </row>
    <row r="71" spans="2:18" s="4" customFormat="1" ht="18.95" customHeight="1">
      <c r="B71" s="6"/>
      <c r="C71" s="14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30"/>
      <c r="O71" s="32"/>
      <c r="P71" s="28"/>
      <c r="Q71" s="28"/>
      <c r="R71" s="34"/>
    </row>
    <row r="72" spans="2:18" s="4" customFormat="1" ht="20.100000000000001" customHeight="1">
      <c r="C72" s="36" t="s">
        <v>85</v>
      </c>
      <c r="D72" s="36"/>
      <c r="E72" s="36"/>
      <c r="F72" s="36"/>
      <c r="G72" s="36"/>
      <c r="H72" s="37"/>
      <c r="I72" s="36"/>
      <c r="J72" s="36"/>
      <c r="K72" s="36"/>
      <c r="L72" s="36"/>
      <c r="M72" s="36"/>
      <c r="N72" s="32"/>
      <c r="O72" s="32"/>
      <c r="P72" s="42">
        <f>SUM(P8:P69)+P4+P5</f>
        <v>169950</v>
      </c>
      <c r="Q72" s="42">
        <f>SUM(Q8:Q69)+Q4+Q5</f>
        <v>168450</v>
      </c>
      <c r="R72" s="42"/>
    </row>
    <row r="73" spans="2:18" ht="11.1" customHeight="1">
      <c r="C73" s="38"/>
      <c r="D73" s="38"/>
      <c r="E73" s="39"/>
      <c r="F73" s="39"/>
      <c r="G73" s="39"/>
      <c r="H73" s="39"/>
      <c r="I73" s="39"/>
      <c r="J73" s="39"/>
      <c r="K73" s="43"/>
      <c r="L73" s="44"/>
      <c r="M73" s="38"/>
      <c r="N73" s="45"/>
      <c r="O73" s="45"/>
      <c r="P73" s="45"/>
      <c r="Q73" s="45"/>
    </row>
    <row r="74" spans="2:18" ht="12.95" customHeight="1">
      <c r="C74" s="38"/>
      <c r="D74" s="38"/>
      <c r="E74" s="39"/>
      <c r="F74" s="39"/>
      <c r="G74" s="39"/>
      <c r="H74" s="39"/>
      <c r="I74" s="39"/>
      <c r="J74" s="39"/>
      <c r="K74" s="43"/>
      <c r="L74" s="44"/>
      <c r="M74" s="38"/>
      <c r="N74" s="45"/>
      <c r="O74" s="45"/>
      <c r="P74" s="45"/>
      <c r="Q74" s="45"/>
    </row>
    <row r="75" spans="2:18">
      <c r="C75" s="38" t="s">
        <v>86</v>
      </c>
      <c r="D75" s="38"/>
      <c r="E75" s="39"/>
      <c r="F75" s="39"/>
      <c r="G75" s="39"/>
      <c r="H75" s="39"/>
      <c r="I75" s="39"/>
      <c r="J75" s="39"/>
      <c r="K75" s="43"/>
      <c r="L75" s="44"/>
      <c r="M75" s="38"/>
    </row>
    <row r="76" spans="2:18">
      <c r="C76" s="40" t="s">
        <v>87</v>
      </c>
      <c r="K76" s="43"/>
      <c r="L76" s="44"/>
    </row>
    <row r="77" spans="2:18">
      <c r="K77" s="43"/>
      <c r="L77" s="44"/>
    </row>
    <row r="78" spans="2:18">
      <c r="K78" s="43"/>
      <c r="L78" s="44"/>
    </row>
    <row r="79" spans="2:18">
      <c r="K79" s="43" t="s">
        <v>88</v>
      </c>
      <c r="L79" s="44"/>
    </row>
    <row r="80" spans="2:18">
      <c r="K80" s="43"/>
      <c r="L80" s="44"/>
    </row>
  </sheetData>
  <mergeCells count="3">
    <mergeCell ref="B2:R2"/>
    <mergeCell ref="B3:R3"/>
    <mergeCell ref="B6:R6"/>
  </mergeCells>
  <pageMargins left="0.7" right="0.45" top="0.65500000000000003" bottom="0.75" header="0.3" footer="0.3"/>
  <pageSetup paperSize="9" scale="92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S80"/>
  <sheetViews>
    <sheetView topLeftCell="B1" zoomScale="115" zoomScaleNormal="115" workbookViewId="0">
      <selection activeCell="S6" sqref="S6"/>
    </sheetView>
  </sheetViews>
  <sheetFormatPr defaultColWidth="9" defaultRowHeight="15"/>
  <cols>
    <col min="1" max="1" width="8.140625" hidden="1" customWidth="1"/>
    <col min="2" max="2" width="6" customWidth="1"/>
    <col min="3" max="3" width="20.42578125" customWidth="1"/>
    <col min="4" max="4" width="10.85546875" hidden="1" customWidth="1"/>
    <col min="5" max="5" width="7.28515625" style="3" hidden="1" customWidth="1"/>
    <col min="6" max="6" width="7" style="3" hidden="1" customWidth="1"/>
    <col min="7" max="7" width="8.42578125" style="5" hidden="1" customWidth="1"/>
    <col min="8" max="8" width="6.7109375" style="3" hidden="1" customWidth="1"/>
    <col min="9" max="9" width="7.85546875" style="3" hidden="1" customWidth="1"/>
    <col min="10" max="10" width="9.7109375" style="3" hidden="1" customWidth="1"/>
    <col min="11" max="11" width="5.7109375" customWidth="1"/>
    <col min="12" max="12" width="5.85546875" customWidth="1"/>
    <col min="13" max="13" width="0.140625" customWidth="1"/>
    <col min="14" max="14" width="6.7109375" customWidth="1"/>
    <col min="15" max="15" width="8" customWidth="1"/>
    <col min="16" max="16" width="11.5703125" customWidth="1"/>
    <col min="17" max="17" width="13" customWidth="1"/>
    <col min="18" max="18" width="10.7109375" customWidth="1"/>
  </cols>
  <sheetData>
    <row r="1" spans="2:19" ht="4.5" customHeight="1"/>
    <row r="2" spans="2:19" ht="23.25">
      <c r="B2" s="53" t="s">
        <v>0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</row>
    <row r="3" spans="2:19" ht="18.75">
      <c r="B3" s="55" t="s">
        <v>101</v>
      </c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</row>
    <row r="4" spans="2:19" s="1" customFormat="1" ht="20.100000000000001" customHeight="1">
      <c r="B4" s="6">
        <v>1</v>
      </c>
      <c r="C4" s="7" t="s">
        <v>2</v>
      </c>
      <c r="D4" s="8">
        <v>1.3</v>
      </c>
      <c r="E4" s="8">
        <v>1.3</v>
      </c>
      <c r="F4" s="9">
        <v>2.7</v>
      </c>
      <c r="G4" s="8">
        <v>1.7</v>
      </c>
      <c r="H4" s="8">
        <v>1.3</v>
      </c>
      <c r="I4" s="8">
        <v>1.3</v>
      </c>
      <c r="J4" s="8">
        <v>1.3</v>
      </c>
      <c r="K4" s="25">
        <v>7</v>
      </c>
      <c r="L4" s="7">
        <v>37</v>
      </c>
      <c r="M4" s="26">
        <f t="shared" ref="M4:M69" si="0">N4/8*L4</f>
        <v>1618.75</v>
      </c>
      <c r="N4" s="27">
        <v>350</v>
      </c>
      <c r="O4" s="27">
        <v>1000</v>
      </c>
      <c r="P4" s="28">
        <f>4068.75+150</f>
        <v>4218.75</v>
      </c>
      <c r="Q4" s="28">
        <f>P4-O4</f>
        <v>3218.75</v>
      </c>
      <c r="R4" s="34">
        <v>1</v>
      </c>
    </row>
    <row r="5" spans="2:19" s="2" customFormat="1" ht="18.95" customHeight="1">
      <c r="B5" s="6">
        <v>2</v>
      </c>
      <c r="C5" s="7" t="s">
        <v>3</v>
      </c>
      <c r="D5" s="8">
        <v>1.4</v>
      </c>
      <c r="E5" s="8">
        <v>1.4</v>
      </c>
      <c r="F5" s="9">
        <v>3</v>
      </c>
      <c r="G5" s="8"/>
      <c r="H5" s="8">
        <v>1.4</v>
      </c>
      <c r="I5" s="8">
        <v>1.4</v>
      </c>
      <c r="J5" s="8">
        <v>1.4</v>
      </c>
      <c r="K5" s="25">
        <v>6</v>
      </c>
      <c r="L5" s="7">
        <v>36</v>
      </c>
      <c r="M5" s="26">
        <f t="shared" si="0"/>
        <v>2250</v>
      </c>
      <c r="N5" s="27">
        <v>500</v>
      </c>
      <c r="O5" s="27">
        <v>500</v>
      </c>
      <c r="P5" s="28">
        <f>K5*N5+M5+150+100</f>
        <v>5500</v>
      </c>
      <c r="Q5" s="28">
        <f>P5-O5</f>
        <v>5000</v>
      </c>
      <c r="R5" s="34">
        <v>2</v>
      </c>
      <c r="S5" s="2">
        <v>6500</v>
      </c>
    </row>
    <row r="6" spans="2:19" ht="12.95" customHeight="1">
      <c r="B6" s="57" t="s">
        <v>4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>
        <v>1</v>
      </c>
    </row>
    <row r="7" spans="2:19" ht="27.95" customHeight="1">
      <c r="B7" s="10"/>
      <c r="C7" s="11" t="s">
        <v>5</v>
      </c>
      <c r="D7" s="12">
        <v>46045</v>
      </c>
      <c r="E7" s="12">
        <v>46046</v>
      </c>
      <c r="F7" s="13">
        <v>46047</v>
      </c>
      <c r="G7" s="12">
        <v>46048</v>
      </c>
      <c r="H7" s="12">
        <v>46049</v>
      </c>
      <c r="I7" s="12">
        <v>46050</v>
      </c>
      <c r="J7" s="12">
        <v>46051</v>
      </c>
      <c r="K7" s="11" t="s">
        <v>90</v>
      </c>
      <c r="L7" s="11" t="s">
        <v>14</v>
      </c>
      <c r="M7" s="11" t="s">
        <v>15</v>
      </c>
      <c r="N7" s="11" t="s">
        <v>16</v>
      </c>
      <c r="O7" s="11" t="s">
        <v>95</v>
      </c>
      <c r="P7" s="11"/>
      <c r="Q7" s="11"/>
      <c r="R7" s="11" t="s">
        <v>17</v>
      </c>
    </row>
    <row r="8" spans="2:19" s="3" customFormat="1" ht="20.100000000000001" customHeight="1">
      <c r="B8" s="6">
        <v>3</v>
      </c>
      <c r="C8" s="7" t="s">
        <v>18</v>
      </c>
      <c r="D8" s="8"/>
      <c r="E8" s="8"/>
      <c r="F8" s="9"/>
      <c r="G8" s="8">
        <v>1</v>
      </c>
      <c r="H8" s="8">
        <v>2</v>
      </c>
      <c r="I8" s="8">
        <v>1</v>
      </c>
      <c r="J8" s="8">
        <v>1</v>
      </c>
      <c r="K8" s="25">
        <f>SUM(D8:J8)</f>
        <v>5</v>
      </c>
      <c r="L8" s="7"/>
      <c r="M8" s="26">
        <f t="shared" si="0"/>
        <v>0</v>
      </c>
      <c r="N8" s="27">
        <v>350</v>
      </c>
      <c r="O8" s="27"/>
      <c r="P8" s="28">
        <f>K8*N8+M8</f>
        <v>1750</v>
      </c>
      <c r="Q8" s="28">
        <f>P8-O8</f>
        <v>1750</v>
      </c>
      <c r="R8" s="34">
        <v>3</v>
      </c>
    </row>
    <row r="9" spans="2:19" s="3" customFormat="1" ht="20.100000000000001" customHeight="1">
      <c r="B9" s="6">
        <v>4</v>
      </c>
      <c r="C9" s="7" t="s">
        <v>19</v>
      </c>
      <c r="D9" s="8"/>
      <c r="E9" s="8">
        <v>1.4</v>
      </c>
      <c r="F9" s="9"/>
      <c r="G9" s="8">
        <v>1.4</v>
      </c>
      <c r="H9" s="8">
        <v>1.4</v>
      </c>
      <c r="I9" s="8">
        <v>1.4</v>
      </c>
      <c r="J9" s="8">
        <v>1.4</v>
      </c>
      <c r="K9" s="25">
        <v>5</v>
      </c>
      <c r="L9" s="7">
        <v>20</v>
      </c>
      <c r="M9" s="26">
        <f t="shared" si="0"/>
        <v>1000</v>
      </c>
      <c r="N9" s="27">
        <v>400</v>
      </c>
      <c r="O9" s="27"/>
      <c r="P9" s="28">
        <f>K9*N9+M9+100</f>
        <v>3100</v>
      </c>
      <c r="Q9" s="28">
        <f t="shared" ref="Q9:Q40" si="1">P9-O9</f>
        <v>3100</v>
      </c>
      <c r="R9" s="34">
        <v>4</v>
      </c>
    </row>
    <row r="10" spans="2:19" ht="20.100000000000001" customHeight="1">
      <c r="B10" s="6">
        <v>5</v>
      </c>
      <c r="C10" s="7" t="s">
        <v>20</v>
      </c>
      <c r="D10" s="8">
        <v>0.4</v>
      </c>
      <c r="E10" s="8">
        <v>1.3</v>
      </c>
      <c r="F10" s="9"/>
      <c r="G10" s="8">
        <v>0.4</v>
      </c>
      <c r="H10" s="8">
        <v>1</v>
      </c>
      <c r="I10" s="8"/>
      <c r="J10" s="8"/>
      <c r="K10" s="25">
        <v>2</v>
      </c>
      <c r="L10" s="7">
        <v>11</v>
      </c>
      <c r="M10" s="26">
        <f t="shared" si="0"/>
        <v>550</v>
      </c>
      <c r="N10" s="27">
        <v>400</v>
      </c>
      <c r="O10" s="27"/>
      <c r="P10" s="28">
        <f>K10*N10+M10</f>
        <v>1350</v>
      </c>
      <c r="Q10" s="28">
        <f t="shared" si="1"/>
        <v>1350</v>
      </c>
      <c r="R10" s="34">
        <v>5</v>
      </c>
    </row>
    <row r="11" spans="2:19" s="3" customFormat="1" ht="20.100000000000001" customHeight="1">
      <c r="B11" s="6">
        <v>6</v>
      </c>
      <c r="C11" s="7" t="s">
        <v>22</v>
      </c>
      <c r="D11" s="8">
        <v>2</v>
      </c>
      <c r="E11" s="8">
        <v>1.4</v>
      </c>
      <c r="F11" s="9"/>
      <c r="G11" s="8">
        <v>0.4</v>
      </c>
      <c r="H11" s="8">
        <v>1.4</v>
      </c>
      <c r="I11" s="8">
        <v>1.4</v>
      </c>
      <c r="J11" s="8">
        <v>1.4</v>
      </c>
      <c r="K11" s="25">
        <v>5</v>
      </c>
      <c r="L11" s="7">
        <v>28</v>
      </c>
      <c r="M11" s="26">
        <f t="shared" si="0"/>
        <v>1400</v>
      </c>
      <c r="N11" s="26">
        <v>400</v>
      </c>
      <c r="O11" s="26"/>
      <c r="P11" s="28">
        <f>K11*N11+M11</f>
        <v>3400</v>
      </c>
      <c r="Q11" s="28">
        <f t="shared" si="1"/>
        <v>3400</v>
      </c>
      <c r="R11" s="34">
        <v>6</v>
      </c>
    </row>
    <row r="12" spans="2:19" s="3" customFormat="1" ht="20.100000000000001" customHeight="1">
      <c r="B12" s="6">
        <v>7</v>
      </c>
      <c r="C12" s="14" t="s">
        <v>23</v>
      </c>
      <c r="D12" s="8">
        <v>1.4</v>
      </c>
      <c r="E12" s="8">
        <v>1.4</v>
      </c>
      <c r="F12" s="9"/>
      <c r="G12" s="8">
        <v>0.4</v>
      </c>
      <c r="H12" s="8">
        <v>1.4</v>
      </c>
      <c r="I12" s="8">
        <v>1.4</v>
      </c>
      <c r="J12" s="8">
        <v>1</v>
      </c>
      <c r="K12" s="25">
        <f>SUM(D12:J12)</f>
        <v>7</v>
      </c>
      <c r="L12" s="7"/>
      <c r="M12" s="26">
        <f t="shared" si="0"/>
        <v>0</v>
      </c>
      <c r="N12" s="26">
        <v>400</v>
      </c>
      <c r="O12" s="26"/>
      <c r="P12" s="28">
        <v>3000</v>
      </c>
      <c r="Q12" s="28">
        <f t="shared" si="1"/>
        <v>3000</v>
      </c>
      <c r="R12" s="34">
        <v>7</v>
      </c>
    </row>
    <row r="13" spans="2:19" ht="20.100000000000001" customHeight="1">
      <c r="B13" s="6">
        <v>8</v>
      </c>
      <c r="C13" s="14" t="s">
        <v>26</v>
      </c>
      <c r="D13" s="8">
        <v>1</v>
      </c>
      <c r="E13" s="8">
        <v>1</v>
      </c>
      <c r="F13" s="9">
        <v>1</v>
      </c>
      <c r="G13" s="8">
        <v>1</v>
      </c>
      <c r="H13" s="8">
        <v>1</v>
      </c>
      <c r="I13" s="8">
        <v>1</v>
      </c>
      <c r="J13" s="8">
        <v>1</v>
      </c>
      <c r="K13" s="25">
        <f>SUM(D13:J13)</f>
        <v>7</v>
      </c>
      <c r="L13" s="7"/>
      <c r="M13" s="26">
        <f t="shared" si="0"/>
        <v>0</v>
      </c>
      <c r="N13" s="27">
        <v>400</v>
      </c>
      <c r="O13" s="27"/>
      <c r="P13" s="28">
        <f>K13*N13+M13+50</f>
        <v>2850</v>
      </c>
      <c r="Q13" s="28">
        <f t="shared" si="1"/>
        <v>2850</v>
      </c>
      <c r="R13" s="34">
        <v>8</v>
      </c>
    </row>
    <row r="14" spans="2:19" ht="20.100000000000001" customHeight="1">
      <c r="B14" s="6">
        <v>9</v>
      </c>
      <c r="C14" s="14" t="s">
        <v>27</v>
      </c>
      <c r="D14" s="8">
        <v>1.4</v>
      </c>
      <c r="E14" s="8"/>
      <c r="F14" s="9">
        <v>1</v>
      </c>
      <c r="G14" s="8">
        <v>1.4</v>
      </c>
      <c r="H14" s="8"/>
      <c r="I14" s="8">
        <v>1.3</v>
      </c>
      <c r="J14" s="8">
        <v>2.7</v>
      </c>
      <c r="K14" s="25">
        <v>5</v>
      </c>
      <c r="L14" s="7">
        <v>26</v>
      </c>
      <c r="M14" s="26">
        <f t="shared" si="0"/>
        <v>1300</v>
      </c>
      <c r="N14" s="27">
        <v>400</v>
      </c>
      <c r="O14" s="27"/>
      <c r="P14" s="28">
        <f>K14*N14+M14+50</f>
        <v>3350</v>
      </c>
      <c r="Q14" s="28">
        <f t="shared" si="1"/>
        <v>3350</v>
      </c>
      <c r="R14" s="34">
        <v>9</v>
      </c>
    </row>
    <row r="15" spans="2:19" ht="20.100000000000001" customHeight="1">
      <c r="B15" s="6">
        <v>10</v>
      </c>
      <c r="C15" s="15" t="s">
        <v>96</v>
      </c>
      <c r="D15" s="8"/>
      <c r="E15" s="8"/>
      <c r="F15" s="9"/>
      <c r="G15" s="8"/>
      <c r="H15" s="8"/>
      <c r="I15" s="8"/>
      <c r="J15" s="8"/>
      <c r="K15" s="25">
        <f>SUM(D15:J15)</f>
        <v>0</v>
      </c>
      <c r="L15" s="7"/>
      <c r="M15" s="26">
        <f t="shared" si="0"/>
        <v>0</v>
      </c>
      <c r="N15" s="26">
        <v>400</v>
      </c>
      <c r="O15" s="26"/>
      <c r="P15" s="28">
        <f>K15*N15+M15</f>
        <v>0</v>
      </c>
      <c r="Q15" s="28">
        <f t="shared" si="1"/>
        <v>0</v>
      </c>
      <c r="R15" s="34">
        <v>10</v>
      </c>
    </row>
    <row r="16" spans="2:19" ht="20.100000000000001" customHeight="1">
      <c r="B16" s="6">
        <v>11</v>
      </c>
      <c r="C16" s="15" t="s">
        <v>28</v>
      </c>
      <c r="D16" s="8">
        <v>2</v>
      </c>
      <c r="E16" s="8"/>
      <c r="F16" s="9"/>
      <c r="G16" s="8"/>
      <c r="H16" s="8">
        <v>1</v>
      </c>
      <c r="I16" s="8">
        <v>1</v>
      </c>
      <c r="J16" s="8">
        <v>1</v>
      </c>
      <c r="K16" s="25">
        <f>SUM(D16:J16)</f>
        <v>5</v>
      </c>
      <c r="L16" s="7"/>
      <c r="M16" s="26">
        <f t="shared" si="0"/>
        <v>0</v>
      </c>
      <c r="N16" s="26">
        <v>400</v>
      </c>
      <c r="O16" s="26"/>
      <c r="P16" s="28">
        <f>K16*N16+M16</f>
        <v>2000</v>
      </c>
      <c r="Q16" s="28">
        <f t="shared" si="1"/>
        <v>2000</v>
      </c>
      <c r="R16" s="34">
        <v>11</v>
      </c>
    </row>
    <row r="17" spans="2:18" ht="20.100000000000001" customHeight="1">
      <c r="B17" s="6">
        <v>12</v>
      </c>
      <c r="C17" s="7" t="s">
        <v>30</v>
      </c>
      <c r="D17" s="8">
        <v>1</v>
      </c>
      <c r="E17" s="8">
        <v>1</v>
      </c>
      <c r="F17" s="9"/>
      <c r="G17" s="8"/>
      <c r="H17" s="8">
        <v>1</v>
      </c>
      <c r="I17" s="8">
        <v>1</v>
      </c>
      <c r="J17" s="8">
        <v>0.3</v>
      </c>
      <c r="K17" s="25">
        <v>4</v>
      </c>
      <c r="L17" s="7">
        <v>3</v>
      </c>
      <c r="M17" s="26">
        <f t="shared" si="0"/>
        <v>150</v>
      </c>
      <c r="N17" s="26">
        <v>400</v>
      </c>
      <c r="O17" s="26"/>
      <c r="P17" s="28">
        <f>K17*N17+M17</f>
        <v>1750</v>
      </c>
      <c r="Q17" s="28">
        <f t="shared" si="1"/>
        <v>1750</v>
      </c>
      <c r="R17" s="34">
        <v>12</v>
      </c>
    </row>
    <row r="18" spans="2:18" ht="20.100000000000001" customHeight="1">
      <c r="B18" s="6">
        <v>13</v>
      </c>
      <c r="C18" s="7" t="s">
        <v>31</v>
      </c>
      <c r="D18" s="8"/>
      <c r="E18" s="8">
        <v>1</v>
      </c>
      <c r="F18" s="9">
        <v>2</v>
      </c>
      <c r="G18" s="8"/>
      <c r="H18" s="8">
        <v>1.4</v>
      </c>
      <c r="I18" s="8">
        <v>2</v>
      </c>
      <c r="J18" s="8">
        <v>2</v>
      </c>
      <c r="K18" s="25">
        <v>5</v>
      </c>
      <c r="L18" s="7">
        <v>28</v>
      </c>
      <c r="M18" s="26">
        <f t="shared" si="0"/>
        <v>1400</v>
      </c>
      <c r="N18" s="26">
        <v>400</v>
      </c>
      <c r="O18" s="26"/>
      <c r="P18" s="28">
        <f>K18*N18+M18+100</f>
        <v>3500</v>
      </c>
      <c r="Q18" s="28">
        <f t="shared" si="1"/>
        <v>3500</v>
      </c>
      <c r="R18" s="34">
        <v>13</v>
      </c>
    </row>
    <row r="19" spans="2:18" ht="20.100000000000001" customHeight="1">
      <c r="B19" s="6">
        <v>14</v>
      </c>
      <c r="C19" s="7" t="s">
        <v>32</v>
      </c>
      <c r="D19" s="8">
        <v>1.4</v>
      </c>
      <c r="E19" s="8">
        <v>1.4</v>
      </c>
      <c r="F19" s="9">
        <v>0.6</v>
      </c>
      <c r="G19" s="8"/>
      <c r="H19" s="8"/>
      <c r="I19" s="8">
        <v>1.4</v>
      </c>
      <c r="J19" s="8">
        <v>1.4</v>
      </c>
      <c r="K19" s="25">
        <v>4</v>
      </c>
      <c r="L19" s="7">
        <v>22</v>
      </c>
      <c r="M19" s="26">
        <f t="shared" si="0"/>
        <v>1100</v>
      </c>
      <c r="N19" s="27">
        <v>400</v>
      </c>
      <c r="O19" s="27"/>
      <c r="P19" s="28">
        <f>K19*N19+M19</f>
        <v>2700</v>
      </c>
      <c r="Q19" s="28">
        <f t="shared" si="1"/>
        <v>2700</v>
      </c>
      <c r="R19" s="34">
        <v>14</v>
      </c>
    </row>
    <row r="20" spans="2:18" ht="20.100000000000001" customHeight="1">
      <c r="B20" s="6">
        <v>15</v>
      </c>
      <c r="C20" s="7" t="s">
        <v>33</v>
      </c>
      <c r="D20" s="8">
        <v>2</v>
      </c>
      <c r="E20" s="8">
        <v>1</v>
      </c>
      <c r="F20" s="9"/>
      <c r="G20" s="8"/>
      <c r="H20" s="8">
        <v>1</v>
      </c>
      <c r="I20" s="8">
        <v>1</v>
      </c>
      <c r="J20" s="8">
        <v>1</v>
      </c>
      <c r="K20" s="25">
        <f>SUM(D20:J20)</f>
        <v>6</v>
      </c>
      <c r="L20" s="7"/>
      <c r="M20" s="26">
        <f t="shared" si="0"/>
        <v>0</v>
      </c>
      <c r="N20" s="26">
        <v>400</v>
      </c>
      <c r="O20" s="26"/>
      <c r="P20" s="28">
        <f>K20*N20+M20</f>
        <v>2400</v>
      </c>
      <c r="Q20" s="28">
        <f t="shared" si="1"/>
        <v>2400</v>
      </c>
      <c r="R20" s="34">
        <v>15</v>
      </c>
    </row>
    <row r="21" spans="2:18" ht="20.100000000000001" customHeight="1">
      <c r="B21" s="6">
        <v>16</v>
      </c>
      <c r="C21" s="7" t="s">
        <v>34</v>
      </c>
      <c r="D21" s="8">
        <v>1</v>
      </c>
      <c r="E21" s="8">
        <v>1</v>
      </c>
      <c r="F21" s="9">
        <v>1</v>
      </c>
      <c r="G21" s="8"/>
      <c r="H21" s="8">
        <v>1</v>
      </c>
      <c r="I21" s="8">
        <v>1</v>
      </c>
      <c r="J21" s="8">
        <v>0.4</v>
      </c>
      <c r="K21" s="25">
        <v>5</v>
      </c>
      <c r="L21" s="7">
        <v>4</v>
      </c>
      <c r="M21" s="26">
        <f t="shared" si="0"/>
        <v>200</v>
      </c>
      <c r="N21" s="27">
        <v>400</v>
      </c>
      <c r="O21" s="27"/>
      <c r="P21" s="28">
        <f t="shared" ref="P21:P27" si="2">K21*N21+M21+50</f>
        <v>2250</v>
      </c>
      <c r="Q21" s="28">
        <f t="shared" si="1"/>
        <v>2250</v>
      </c>
      <c r="R21" s="34">
        <v>16</v>
      </c>
    </row>
    <row r="22" spans="2:18" ht="20.100000000000001" customHeight="1">
      <c r="B22" s="6">
        <v>17</v>
      </c>
      <c r="C22" s="7" t="s">
        <v>35</v>
      </c>
      <c r="D22" s="8"/>
      <c r="E22" s="8"/>
      <c r="F22" s="9">
        <v>1</v>
      </c>
      <c r="G22" s="8">
        <v>1.7</v>
      </c>
      <c r="H22" s="8">
        <v>1.3</v>
      </c>
      <c r="I22" s="8">
        <v>1.3</v>
      </c>
      <c r="J22" s="8"/>
      <c r="K22" s="25">
        <v>4</v>
      </c>
      <c r="L22" s="7">
        <v>13</v>
      </c>
      <c r="M22" s="26">
        <f t="shared" si="0"/>
        <v>650</v>
      </c>
      <c r="N22" s="26">
        <v>400</v>
      </c>
      <c r="O22" s="26"/>
      <c r="P22" s="28">
        <f t="shared" si="2"/>
        <v>2300</v>
      </c>
      <c r="Q22" s="28">
        <f t="shared" si="1"/>
        <v>2300</v>
      </c>
      <c r="R22" s="34">
        <v>17</v>
      </c>
    </row>
    <row r="23" spans="2:18" ht="20.100000000000001" customHeight="1">
      <c r="B23" s="6">
        <v>18</v>
      </c>
      <c r="C23" s="7" t="s">
        <v>40</v>
      </c>
      <c r="D23" s="8">
        <v>1</v>
      </c>
      <c r="E23" s="8">
        <v>1</v>
      </c>
      <c r="F23" s="9">
        <v>1</v>
      </c>
      <c r="G23" s="8">
        <v>1</v>
      </c>
      <c r="H23" s="8">
        <v>1</v>
      </c>
      <c r="I23" s="8">
        <v>1</v>
      </c>
      <c r="J23" s="8">
        <v>1</v>
      </c>
      <c r="K23" s="25">
        <f>SUM(D23:J23)</f>
        <v>7</v>
      </c>
      <c r="L23" s="7"/>
      <c r="M23" s="26">
        <f t="shared" si="0"/>
        <v>0</v>
      </c>
      <c r="N23" s="26">
        <v>400</v>
      </c>
      <c r="O23" s="26"/>
      <c r="P23" s="28">
        <f t="shared" si="2"/>
        <v>2850</v>
      </c>
      <c r="Q23" s="28">
        <f t="shared" si="1"/>
        <v>2850</v>
      </c>
      <c r="R23" s="34">
        <v>18</v>
      </c>
    </row>
    <row r="24" spans="2:18" ht="20.100000000000001" customHeight="1">
      <c r="B24" s="6">
        <v>19</v>
      </c>
      <c r="C24" s="7" t="s">
        <v>37</v>
      </c>
      <c r="D24" s="8">
        <v>1</v>
      </c>
      <c r="E24" s="8">
        <v>1</v>
      </c>
      <c r="F24" s="9">
        <v>1</v>
      </c>
      <c r="G24" s="8">
        <v>1</v>
      </c>
      <c r="H24" s="8">
        <v>1</v>
      </c>
      <c r="I24" s="8">
        <v>1</v>
      </c>
      <c r="J24" s="8">
        <v>1</v>
      </c>
      <c r="K24" s="25">
        <f>SUM(D24:J24)</f>
        <v>7</v>
      </c>
      <c r="L24" s="7"/>
      <c r="M24" s="26">
        <f t="shared" si="0"/>
        <v>0</v>
      </c>
      <c r="N24" s="26">
        <v>400</v>
      </c>
      <c r="O24" s="26"/>
      <c r="P24" s="28">
        <f t="shared" si="2"/>
        <v>2850</v>
      </c>
      <c r="Q24" s="28">
        <f t="shared" si="1"/>
        <v>2850</v>
      </c>
      <c r="R24" s="34">
        <v>19</v>
      </c>
    </row>
    <row r="25" spans="2:18" ht="20.100000000000001" customHeight="1">
      <c r="B25" s="6">
        <v>20</v>
      </c>
      <c r="C25" s="7" t="s">
        <v>38</v>
      </c>
      <c r="D25" s="8">
        <v>1</v>
      </c>
      <c r="E25" s="8">
        <v>1</v>
      </c>
      <c r="F25" s="9">
        <v>1</v>
      </c>
      <c r="G25" s="8">
        <v>1</v>
      </c>
      <c r="H25" s="8">
        <v>1</v>
      </c>
      <c r="I25" s="8">
        <v>1</v>
      </c>
      <c r="J25" s="8">
        <v>1</v>
      </c>
      <c r="K25" s="25">
        <f>SUM(D25:J25)</f>
        <v>7</v>
      </c>
      <c r="L25" s="7"/>
      <c r="M25" s="26">
        <f t="shared" si="0"/>
        <v>0</v>
      </c>
      <c r="N25" s="26">
        <v>400</v>
      </c>
      <c r="O25" s="29"/>
      <c r="P25" s="28">
        <f t="shared" si="2"/>
        <v>2850</v>
      </c>
      <c r="Q25" s="28">
        <f t="shared" si="1"/>
        <v>2850</v>
      </c>
      <c r="R25" s="34">
        <v>20</v>
      </c>
    </row>
    <row r="26" spans="2:18" ht="20.100000000000001" customHeight="1">
      <c r="B26" s="6">
        <v>21</v>
      </c>
      <c r="C26" s="14" t="s">
        <v>39</v>
      </c>
      <c r="D26" s="8">
        <v>1</v>
      </c>
      <c r="E26" s="8">
        <v>1</v>
      </c>
      <c r="F26" s="9">
        <v>1.4</v>
      </c>
      <c r="G26" s="8"/>
      <c r="H26" s="8">
        <v>2</v>
      </c>
      <c r="I26" s="8">
        <v>2</v>
      </c>
      <c r="J26" s="8">
        <v>2.4</v>
      </c>
      <c r="K26" s="25">
        <v>6</v>
      </c>
      <c r="L26" s="7">
        <v>32</v>
      </c>
      <c r="M26" s="26">
        <f t="shared" si="0"/>
        <v>1600</v>
      </c>
      <c r="N26" s="26">
        <v>400</v>
      </c>
      <c r="O26" s="29"/>
      <c r="P26" s="28">
        <f t="shared" si="2"/>
        <v>4050</v>
      </c>
      <c r="Q26" s="28">
        <f t="shared" si="1"/>
        <v>4050</v>
      </c>
      <c r="R26" s="34">
        <v>21</v>
      </c>
    </row>
    <row r="27" spans="2:18" ht="20.100000000000001" customHeight="1">
      <c r="B27" s="6">
        <v>22</v>
      </c>
      <c r="C27" s="7" t="s">
        <v>41</v>
      </c>
      <c r="D27" s="8">
        <v>1</v>
      </c>
      <c r="E27" s="8">
        <v>1</v>
      </c>
      <c r="F27" s="9">
        <v>1</v>
      </c>
      <c r="G27" s="8">
        <v>1</v>
      </c>
      <c r="H27" s="8">
        <v>1</v>
      </c>
      <c r="I27" s="8">
        <v>1</v>
      </c>
      <c r="J27" s="8">
        <v>1</v>
      </c>
      <c r="K27" s="25">
        <f>SUM(D27:J27)</f>
        <v>7</v>
      </c>
      <c r="L27" s="7"/>
      <c r="M27" s="26">
        <f t="shared" si="0"/>
        <v>0</v>
      </c>
      <c r="N27" s="26">
        <v>400</v>
      </c>
      <c r="O27" s="29"/>
      <c r="P27" s="28">
        <f t="shared" si="2"/>
        <v>2850</v>
      </c>
      <c r="Q27" s="28">
        <f t="shared" si="1"/>
        <v>2850</v>
      </c>
      <c r="R27" s="34">
        <v>22</v>
      </c>
    </row>
    <row r="28" spans="2:18" ht="20.100000000000001" customHeight="1">
      <c r="B28" s="6">
        <v>23</v>
      </c>
      <c r="C28" s="14" t="s">
        <v>44</v>
      </c>
      <c r="D28" s="8"/>
      <c r="E28" s="8">
        <v>1.3</v>
      </c>
      <c r="F28" s="9"/>
      <c r="G28" s="8"/>
      <c r="H28" s="8">
        <v>1.3</v>
      </c>
      <c r="I28" s="8">
        <v>1.3</v>
      </c>
      <c r="J28" s="8">
        <v>1.3</v>
      </c>
      <c r="K28" s="25">
        <v>4</v>
      </c>
      <c r="L28" s="7">
        <v>12</v>
      </c>
      <c r="M28" s="26">
        <f t="shared" si="0"/>
        <v>600</v>
      </c>
      <c r="N28" s="26">
        <v>400</v>
      </c>
      <c r="O28" s="29"/>
      <c r="P28" s="28">
        <f>K28*N28+M28</f>
        <v>2200</v>
      </c>
      <c r="Q28" s="28">
        <f t="shared" si="1"/>
        <v>2200</v>
      </c>
      <c r="R28" s="34">
        <v>23</v>
      </c>
    </row>
    <row r="29" spans="2:18" ht="20.100000000000001" customHeight="1">
      <c r="B29" s="6">
        <v>24</v>
      </c>
      <c r="C29" s="7" t="s">
        <v>45</v>
      </c>
      <c r="D29" s="8">
        <v>1.4</v>
      </c>
      <c r="E29" s="8">
        <v>1.4</v>
      </c>
      <c r="F29" s="9"/>
      <c r="G29" s="8">
        <v>0.4</v>
      </c>
      <c r="H29" s="8">
        <v>1.4</v>
      </c>
      <c r="I29" s="8">
        <v>1.4</v>
      </c>
      <c r="J29" s="8">
        <v>1</v>
      </c>
      <c r="K29" s="25">
        <v>5</v>
      </c>
      <c r="L29" s="7">
        <v>20</v>
      </c>
      <c r="M29" s="26">
        <f t="shared" si="0"/>
        <v>1000</v>
      </c>
      <c r="N29" s="26">
        <v>400</v>
      </c>
      <c r="O29" s="29"/>
      <c r="P29" s="28">
        <f>K29*N29+M29</f>
        <v>3000</v>
      </c>
      <c r="Q29" s="28">
        <f t="shared" si="1"/>
        <v>3000</v>
      </c>
      <c r="R29" s="34">
        <v>24</v>
      </c>
    </row>
    <row r="30" spans="2:18" ht="20.100000000000001" customHeight="1">
      <c r="B30" s="6">
        <v>25</v>
      </c>
      <c r="C30" s="14" t="s">
        <v>46</v>
      </c>
      <c r="D30" s="8">
        <v>1.4</v>
      </c>
      <c r="E30" s="8">
        <v>1.4</v>
      </c>
      <c r="F30" s="9">
        <v>1</v>
      </c>
      <c r="G30" s="8">
        <v>0.4</v>
      </c>
      <c r="H30" s="8">
        <v>1.4</v>
      </c>
      <c r="I30" s="8">
        <v>1.4</v>
      </c>
      <c r="J30" s="8">
        <v>1.4</v>
      </c>
      <c r="K30" s="25">
        <v>6</v>
      </c>
      <c r="L30" s="7">
        <v>24</v>
      </c>
      <c r="M30" s="26">
        <f t="shared" si="0"/>
        <v>1200</v>
      </c>
      <c r="N30" s="26">
        <v>400</v>
      </c>
      <c r="O30" s="29"/>
      <c r="P30" s="28">
        <f>K30*N30+M30+50</f>
        <v>3650</v>
      </c>
      <c r="Q30" s="28">
        <f t="shared" si="1"/>
        <v>3650</v>
      </c>
      <c r="R30" s="34">
        <v>25</v>
      </c>
    </row>
    <row r="31" spans="2:18" ht="20.100000000000001" customHeight="1">
      <c r="B31" s="6">
        <v>26</v>
      </c>
      <c r="C31" s="7" t="s">
        <v>47</v>
      </c>
      <c r="D31" s="8">
        <v>1.4</v>
      </c>
      <c r="E31" s="8"/>
      <c r="F31" s="9"/>
      <c r="G31" s="8"/>
      <c r="H31" s="8">
        <v>1.4</v>
      </c>
      <c r="I31" s="8">
        <v>1.4</v>
      </c>
      <c r="J31" s="8">
        <v>1.4</v>
      </c>
      <c r="K31" s="25">
        <v>4</v>
      </c>
      <c r="L31" s="7">
        <v>16</v>
      </c>
      <c r="M31" s="26">
        <f t="shared" si="0"/>
        <v>800</v>
      </c>
      <c r="N31" s="26">
        <v>400</v>
      </c>
      <c r="O31" s="29"/>
      <c r="P31" s="28">
        <f>K31*N31+M31+50</f>
        <v>2450</v>
      </c>
      <c r="Q31" s="28">
        <f t="shared" si="1"/>
        <v>2450</v>
      </c>
      <c r="R31" s="34">
        <v>26</v>
      </c>
    </row>
    <row r="32" spans="2:18" ht="20.100000000000001" customHeight="1">
      <c r="B32" s="6">
        <v>27</v>
      </c>
      <c r="C32" s="7" t="s">
        <v>50</v>
      </c>
      <c r="D32" s="16">
        <v>0.4</v>
      </c>
      <c r="E32" s="16">
        <v>1.4</v>
      </c>
      <c r="F32" s="17">
        <v>1</v>
      </c>
      <c r="G32" s="16">
        <v>1.3</v>
      </c>
      <c r="H32" s="16">
        <v>1.3</v>
      </c>
      <c r="I32" s="16">
        <v>1.3</v>
      </c>
      <c r="J32" s="16">
        <v>1.3</v>
      </c>
      <c r="K32" s="25">
        <v>6</v>
      </c>
      <c r="L32" s="7">
        <v>20</v>
      </c>
      <c r="M32" s="26">
        <f t="shared" si="0"/>
        <v>1000</v>
      </c>
      <c r="N32" s="30">
        <v>400</v>
      </c>
      <c r="O32" s="31"/>
      <c r="P32" s="28">
        <f>K32*N32+M32+50</f>
        <v>3450</v>
      </c>
      <c r="Q32" s="28">
        <f t="shared" si="1"/>
        <v>3450</v>
      </c>
      <c r="R32" s="34">
        <v>27</v>
      </c>
    </row>
    <row r="33" spans="2:18" s="4" customFormat="1" ht="18.95" customHeight="1">
      <c r="B33" s="6">
        <v>28</v>
      </c>
      <c r="C33" s="18" t="s">
        <v>51</v>
      </c>
      <c r="D33" s="19">
        <v>2</v>
      </c>
      <c r="E33" s="20">
        <v>2</v>
      </c>
      <c r="F33" s="21"/>
      <c r="G33" s="20"/>
      <c r="H33" s="20">
        <v>1</v>
      </c>
      <c r="I33" s="20">
        <v>1</v>
      </c>
      <c r="J33" s="20">
        <v>1</v>
      </c>
      <c r="K33" s="25">
        <v>5</v>
      </c>
      <c r="L33" s="7">
        <v>16</v>
      </c>
      <c r="M33" s="26">
        <f t="shared" si="0"/>
        <v>700</v>
      </c>
      <c r="N33" s="30">
        <v>350</v>
      </c>
      <c r="O33" s="32"/>
      <c r="P33" s="28">
        <f>K33*N33+M33</f>
        <v>2450</v>
      </c>
      <c r="Q33" s="28">
        <f t="shared" si="1"/>
        <v>2450</v>
      </c>
      <c r="R33" s="34">
        <v>28</v>
      </c>
    </row>
    <row r="34" spans="2:18" s="4" customFormat="1" ht="18.95" customHeight="1">
      <c r="B34" s="6">
        <v>29</v>
      </c>
      <c r="C34" s="14" t="s">
        <v>52</v>
      </c>
      <c r="D34" s="22">
        <v>2</v>
      </c>
      <c r="E34" s="23"/>
      <c r="F34" s="24"/>
      <c r="G34" s="23">
        <v>1</v>
      </c>
      <c r="H34" s="23"/>
      <c r="I34" s="23">
        <v>1</v>
      </c>
      <c r="J34" s="23">
        <v>1</v>
      </c>
      <c r="K34" s="25">
        <f>SUM(D34:J34)</f>
        <v>5</v>
      </c>
      <c r="L34" s="7"/>
      <c r="M34" s="26">
        <f t="shared" si="0"/>
        <v>0</v>
      </c>
      <c r="N34" s="30">
        <v>400</v>
      </c>
      <c r="O34" s="32"/>
      <c r="P34" s="28">
        <f>K34*N34+M34</f>
        <v>2000</v>
      </c>
      <c r="Q34" s="28">
        <f t="shared" si="1"/>
        <v>2000</v>
      </c>
      <c r="R34" s="34">
        <v>29</v>
      </c>
    </row>
    <row r="35" spans="2:18" s="4" customFormat="1" ht="18.95" customHeight="1">
      <c r="B35" s="6">
        <v>30</v>
      </c>
      <c r="C35" s="15" t="s">
        <v>53</v>
      </c>
      <c r="D35" s="22">
        <v>1.3</v>
      </c>
      <c r="E35" s="23">
        <v>1.3</v>
      </c>
      <c r="F35" s="24"/>
      <c r="G35" s="23">
        <v>1</v>
      </c>
      <c r="H35" s="23">
        <v>1.3</v>
      </c>
      <c r="I35" s="23">
        <v>1.3</v>
      </c>
      <c r="J35" s="23">
        <v>1.3</v>
      </c>
      <c r="K35" s="25">
        <v>6</v>
      </c>
      <c r="L35" s="7">
        <v>15</v>
      </c>
      <c r="M35" s="26">
        <f t="shared" si="0"/>
        <v>656.25</v>
      </c>
      <c r="N35" s="30">
        <v>350</v>
      </c>
      <c r="O35" s="32"/>
      <c r="P35" s="28">
        <f>K35*N35+M35</f>
        <v>2756.25</v>
      </c>
      <c r="Q35" s="28">
        <f t="shared" si="1"/>
        <v>2756.25</v>
      </c>
      <c r="R35" s="34">
        <v>30</v>
      </c>
    </row>
    <row r="36" spans="2:18" s="4" customFormat="1" ht="18.95" customHeight="1">
      <c r="B36" s="6">
        <v>31</v>
      </c>
      <c r="C36" s="15" t="s">
        <v>55</v>
      </c>
      <c r="D36" s="22">
        <v>1</v>
      </c>
      <c r="E36" s="23"/>
      <c r="F36" s="24"/>
      <c r="G36" s="23"/>
      <c r="H36" s="23"/>
      <c r="I36" s="23">
        <v>1</v>
      </c>
      <c r="J36" s="23">
        <v>0.2</v>
      </c>
      <c r="K36" s="25">
        <v>2</v>
      </c>
      <c r="L36" s="7">
        <v>2</v>
      </c>
      <c r="M36" s="26">
        <f t="shared" si="0"/>
        <v>100</v>
      </c>
      <c r="N36" s="30">
        <v>400</v>
      </c>
      <c r="O36" s="32"/>
      <c r="P36" s="28">
        <f>K36*N36+M36</f>
        <v>900</v>
      </c>
      <c r="Q36" s="28">
        <f t="shared" si="1"/>
        <v>900</v>
      </c>
      <c r="R36" s="34">
        <v>31</v>
      </c>
    </row>
    <row r="37" spans="2:18" s="4" customFormat="1" ht="18.95" customHeight="1">
      <c r="B37" s="6">
        <v>32</v>
      </c>
      <c r="C37" s="7" t="s">
        <v>97</v>
      </c>
      <c r="D37" s="22"/>
      <c r="E37" s="23"/>
      <c r="F37" s="24"/>
      <c r="G37" s="23"/>
      <c r="H37" s="23"/>
      <c r="I37" s="23"/>
      <c r="J37" s="23"/>
      <c r="K37" s="25">
        <f>SUM(D37:J37)</f>
        <v>0</v>
      </c>
      <c r="L37" s="7"/>
      <c r="M37" s="26">
        <f t="shared" si="0"/>
        <v>0</v>
      </c>
      <c r="N37" s="30">
        <v>400</v>
      </c>
      <c r="O37" s="32"/>
      <c r="P37" s="28">
        <f>K37*N37+M37</f>
        <v>0</v>
      </c>
      <c r="Q37" s="28">
        <f t="shared" si="1"/>
        <v>0</v>
      </c>
      <c r="R37" s="34">
        <v>32</v>
      </c>
    </row>
    <row r="38" spans="2:18" s="4" customFormat="1" ht="18.95" customHeight="1">
      <c r="B38" s="6">
        <v>33</v>
      </c>
      <c r="C38" s="7" t="s">
        <v>59</v>
      </c>
      <c r="D38" s="22">
        <v>1</v>
      </c>
      <c r="E38" s="23">
        <v>1</v>
      </c>
      <c r="F38" s="24">
        <v>1</v>
      </c>
      <c r="G38" s="23">
        <v>1</v>
      </c>
      <c r="H38" s="23">
        <v>1</v>
      </c>
      <c r="I38" s="23">
        <v>1</v>
      </c>
      <c r="J38" s="23">
        <v>1</v>
      </c>
      <c r="K38" s="25">
        <f>SUM(D38:J38)</f>
        <v>7</v>
      </c>
      <c r="L38" s="7"/>
      <c r="M38" s="26">
        <f t="shared" si="0"/>
        <v>0</v>
      </c>
      <c r="N38" s="30">
        <v>400</v>
      </c>
      <c r="O38" s="32"/>
      <c r="P38" s="28">
        <f>K38*N38+M38+50</f>
        <v>2850</v>
      </c>
      <c r="Q38" s="28">
        <f t="shared" si="1"/>
        <v>2850</v>
      </c>
      <c r="R38" s="34">
        <v>33</v>
      </c>
    </row>
    <row r="39" spans="2:18" s="4" customFormat="1" ht="18.95" customHeight="1">
      <c r="B39" s="6">
        <v>34</v>
      </c>
      <c r="C39" s="7" t="s">
        <v>60</v>
      </c>
      <c r="D39" s="22">
        <v>1.4</v>
      </c>
      <c r="E39" s="23">
        <v>1.4</v>
      </c>
      <c r="F39" s="24">
        <v>1</v>
      </c>
      <c r="G39" s="23">
        <v>1</v>
      </c>
      <c r="H39" s="23">
        <v>1.4</v>
      </c>
      <c r="I39" s="23">
        <v>1.4</v>
      </c>
      <c r="J39" s="23">
        <v>1.4</v>
      </c>
      <c r="K39" s="25">
        <v>7</v>
      </c>
      <c r="L39" s="7">
        <v>20</v>
      </c>
      <c r="M39" s="26">
        <f t="shared" si="0"/>
        <v>1000</v>
      </c>
      <c r="N39" s="30">
        <v>400</v>
      </c>
      <c r="O39" s="32"/>
      <c r="P39" s="28">
        <f>K39*N39+M39+50</f>
        <v>3850</v>
      </c>
      <c r="Q39" s="28">
        <f t="shared" si="1"/>
        <v>3850</v>
      </c>
      <c r="R39" s="34">
        <v>34</v>
      </c>
    </row>
    <row r="40" spans="2:18" s="4" customFormat="1" ht="18.95" customHeight="1">
      <c r="B40" s="6">
        <v>35</v>
      </c>
      <c r="C40" s="7" t="s">
        <v>63</v>
      </c>
      <c r="D40" s="22"/>
      <c r="E40" s="23">
        <v>1.3</v>
      </c>
      <c r="F40" s="24"/>
      <c r="G40" s="23">
        <v>1.3</v>
      </c>
      <c r="H40" s="23"/>
      <c r="I40" s="23">
        <v>1.3</v>
      </c>
      <c r="J40" s="23">
        <v>1.3</v>
      </c>
      <c r="K40" s="25">
        <v>4</v>
      </c>
      <c r="L40" s="7">
        <v>12</v>
      </c>
      <c r="M40" s="26">
        <f t="shared" si="0"/>
        <v>600</v>
      </c>
      <c r="N40" s="30">
        <v>400</v>
      </c>
      <c r="O40" s="32"/>
      <c r="P40" s="28">
        <f>K40*N40+M40</f>
        <v>2200</v>
      </c>
      <c r="Q40" s="28">
        <f t="shared" si="1"/>
        <v>2200</v>
      </c>
      <c r="R40" s="34">
        <v>35</v>
      </c>
    </row>
    <row r="41" spans="2:18" s="4" customFormat="1" ht="18.95" customHeight="1">
      <c r="B41" s="6">
        <v>36</v>
      </c>
      <c r="C41" s="15" t="s">
        <v>62</v>
      </c>
      <c r="D41" s="22"/>
      <c r="E41" s="23">
        <v>1.4</v>
      </c>
      <c r="F41" s="24">
        <v>1.4</v>
      </c>
      <c r="G41" s="23"/>
      <c r="H41" s="23">
        <v>1.4</v>
      </c>
      <c r="I41" s="23"/>
      <c r="J41" s="23">
        <v>1.4</v>
      </c>
      <c r="K41" s="25">
        <v>4</v>
      </c>
      <c r="L41" s="7">
        <v>16</v>
      </c>
      <c r="M41" s="26">
        <f t="shared" si="0"/>
        <v>800</v>
      </c>
      <c r="N41" s="30">
        <v>400</v>
      </c>
      <c r="O41" s="32"/>
      <c r="P41" s="28">
        <f>K41*N41+M41+50</f>
        <v>2450</v>
      </c>
      <c r="Q41" s="28">
        <f t="shared" ref="Q41:Q69" si="3">P41-O41</f>
        <v>2450</v>
      </c>
      <c r="R41" s="34">
        <v>36</v>
      </c>
    </row>
    <row r="42" spans="2:18" s="4" customFormat="1" ht="18.95" customHeight="1">
      <c r="B42" s="6">
        <v>37</v>
      </c>
      <c r="C42" s="14" t="s">
        <v>64</v>
      </c>
      <c r="D42" s="22">
        <v>1.3</v>
      </c>
      <c r="E42" s="23">
        <v>1.3</v>
      </c>
      <c r="F42" s="24">
        <v>1.3</v>
      </c>
      <c r="G42" s="23">
        <v>0.4</v>
      </c>
      <c r="H42" s="23">
        <v>1.3</v>
      </c>
      <c r="I42" s="23">
        <v>1.3</v>
      </c>
      <c r="J42" s="23">
        <v>1.7</v>
      </c>
      <c r="K42" s="25">
        <v>6</v>
      </c>
      <c r="L42" s="7">
        <v>26</v>
      </c>
      <c r="M42" s="26">
        <f t="shared" si="0"/>
        <v>1625</v>
      </c>
      <c r="N42" s="30">
        <v>500</v>
      </c>
      <c r="O42" s="32"/>
      <c r="P42" s="28">
        <f>K42*N42+M42+50</f>
        <v>4675</v>
      </c>
      <c r="Q42" s="28">
        <f t="shared" si="3"/>
        <v>4675</v>
      </c>
      <c r="R42" s="34">
        <v>37</v>
      </c>
    </row>
    <row r="43" spans="2:18" s="4" customFormat="1" ht="18.95" customHeight="1">
      <c r="B43" s="6">
        <v>38</v>
      </c>
      <c r="C43" s="7" t="s">
        <v>58</v>
      </c>
      <c r="D43" s="22">
        <v>1</v>
      </c>
      <c r="E43" s="23">
        <v>2</v>
      </c>
      <c r="F43" s="24">
        <v>1.4</v>
      </c>
      <c r="G43" s="23"/>
      <c r="H43" s="23">
        <v>2.4</v>
      </c>
      <c r="I43" s="23">
        <v>2</v>
      </c>
      <c r="J43" s="23">
        <v>2</v>
      </c>
      <c r="K43" s="25">
        <v>6</v>
      </c>
      <c r="L43" s="7">
        <v>40</v>
      </c>
      <c r="M43" s="26">
        <f t="shared" si="0"/>
        <v>2000</v>
      </c>
      <c r="N43" s="30">
        <v>400</v>
      </c>
      <c r="O43" s="32"/>
      <c r="P43" s="28">
        <f>K43*N43+M43+50</f>
        <v>4450</v>
      </c>
      <c r="Q43" s="28">
        <f t="shared" si="3"/>
        <v>4450</v>
      </c>
      <c r="R43" s="34">
        <v>38</v>
      </c>
    </row>
    <row r="44" spans="2:18" s="4" customFormat="1" ht="18.95" customHeight="1">
      <c r="B44" s="6">
        <v>39</v>
      </c>
      <c r="C44" s="7" t="s">
        <v>98</v>
      </c>
      <c r="D44" s="22"/>
      <c r="E44" s="23"/>
      <c r="F44" s="24"/>
      <c r="G44" s="23"/>
      <c r="H44" s="23"/>
      <c r="I44" s="23"/>
      <c r="J44" s="23"/>
      <c r="K44" s="25">
        <f>SUM(D44:J44)</f>
        <v>0</v>
      </c>
      <c r="L44" s="7"/>
      <c r="M44" s="26">
        <f t="shared" si="0"/>
        <v>0</v>
      </c>
      <c r="N44" s="30">
        <v>400</v>
      </c>
      <c r="O44" s="32"/>
      <c r="P44" s="28">
        <f t="shared" ref="P44:P69" si="4">K44*N44+M44</f>
        <v>0</v>
      </c>
      <c r="Q44" s="28">
        <f t="shared" si="3"/>
        <v>0</v>
      </c>
      <c r="R44" s="34">
        <v>39</v>
      </c>
    </row>
    <row r="45" spans="2:18" s="4" customFormat="1" ht="18.95" customHeight="1">
      <c r="B45" s="6">
        <v>40</v>
      </c>
      <c r="C45" s="7" t="s">
        <v>67</v>
      </c>
      <c r="D45" s="22">
        <v>1</v>
      </c>
      <c r="E45" s="23"/>
      <c r="F45" s="24"/>
      <c r="G45" s="23"/>
      <c r="H45" s="23">
        <v>1</v>
      </c>
      <c r="I45" s="23">
        <v>1</v>
      </c>
      <c r="J45" s="23">
        <v>1</v>
      </c>
      <c r="K45" s="25">
        <f>SUM(D45:J45)</f>
        <v>4</v>
      </c>
      <c r="L45" s="7"/>
      <c r="M45" s="26">
        <v>400</v>
      </c>
      <c r="N45" s="30">
        <v>400</v>
      </c>
      <c r="O45" s="32"/>
      <c r="P45" s="28">
        <v>1600</v>
      </c>
      <c r="Q45" s="28">
        <f t="shared" si="3"/>
        <v>1600</v>
      </c>
      <c r="R45" s="34">
        <v>40</v>
      </c>
    </row>
    <row r="46" spans="2:18" s="4" customFormat="1" ht="18.95" customHeight="1">
      <c r="B46" s="6">
        <v>41</v>
      </c>
      <c r="C46" s="7" t="s">
        <v>65</v>
      </c>
      <c r="D46" s="22">
        <v>1.4</v>
      </c>
      <c r="E46" s="23">
        <v>1.4</v>
      </c>
      <c r="F46" s="24"/>
      <c r="G46" s="23">
        <v>1.4</v>
      </c>
      <c r="H46" s="23">
        <v>1.4</v>
      </c>
      <c r="I46" s="23"/>
      <c r="J46" s="23">
        <v>0.4</v>
      </c>
      <c r="K46" s="25">
        <v>4</v>
      </c>
      <c r="L46" s="7">
        <v>20</v>
      </c>
      <c r="M46" s="26">
        <f t="shared" si="0"/>
        <v>1000</v>
      </c>
      <c r="N46" s="30">
        <v>400</v>
      </c>
      <c r="O46" s="32"/>
      <c r="P46" s="28">
        <f t="shared" si="4"/>
        <v>2600</v>
      </c>
      <c r="Q46" s="28">
        <f t="shared" si="3"/>
        <v>2600</v>
      </c>
      <c r="R46" s="34">
        <v>41</v>
      </c>
    </row>
    <row r="47" spans="2:18" s="4" customFormat="1" ht="18.95" customHeight="1">
      <c r="B47" s="6">
        <v>42</v>
      </c>
      <c r="C47" s="14" t="s">
        <v>68</v>
      </c>
      <c r="D47" s="22">
        <v>1</v>
      </c>
      <c r="E47" s="23">
        <v>1</v>
      </c>
      <c r="F47" s="24"/>
      <c r="G47" s="23"/>
      <c r="H47" s="23">
        <v>1</v>
      </c>
      <c r="I47" s="23">
        <v>1</v>
      </c>
      <c r="J47" s="23">
        <v>0.4</v>
      </c>
      <c r="K47" s="25">
        <v>4</v>
      </c>
      <c r="L47" s="7">
        <v>4</v>
      </c>
      <c r="M47" s="26">
        <f t="shared" si="0"/>
        <v>200</v>
      </c>
      <c r="N47" s="30">
        <v>400</v>
      </c>
      <c r="O47" s="32"/>
      <c r="P47" s="28">
        <f t="shared" si="4"/>
        <v>1800</v>
      </c>
      <c r="Q47" s="28">
        <f t="shared" si="3"/>
        <v>1800</v>
      </c>
      <c r="R47" s="34">
        <v>42</v>
      </c>
    </row>
    <row r="48" spans="2:18" s="4" customFormat="1" ht="18.95" customHeight="1">
      <c r="B48" s="6">
        <v>43</v>
      </c>
      <c r="C48" s="14" t="s">
        <v>70</v>
      </c>
      <c r="D48" s="22">
        <v>1.4</v>
      </c>
      <c r="E48" s="23"/>
      <c r="F48" s="24"/>
      <c r="G48" s="23"/>
      <c r="H48" s="23">
        <v>0.4</v>
      </c>
      <c r="I48" s="23">
        <v>1.4</v>
      </c>
      <c r="J48" s="23">
        <v>1.4</v>
      </c>
      <c r="K48" s="25">
        <v>3</v>
      </c>
      <c r="L48" s="7">
        <v>16</v>
      </c>
      <c r="M48" s="26">
        <f t="shared" si="0"/>
        <v>800</v>
      </c>
      <c r="N48" s="30">
        <v>400</v>
      </c>
      <c r="O48" s="32"/>
      <c r="P48" s="28">
        <f t="shared" si="4"/>
        <v>2000</v>
      </c>
      <c r="Q48" s="28">
        <f t="shared" si="3"/>
        <v>2000</v>
      </c>
      <c r="R48" s="34">
        <v>43</v>
      </c>
    </row>
    <row r="49" spans="2:18" s="4" customFormat="1" ht="18.95" customHeight="1">
      <c r="B49" s="6">
        <v>44</v>
      </c>
      <c r="C49" s="14" t="s">
        <v>99</v>
      </c>
      <c r="D49" s="22"/>
      <c r="E49" s="23"/>
      <c r="F49" s="24"/>
      <c r="G49" s="23"/>
      <c r="H49" s="23"/>
      <c r="I49" s="23"/>
      <c r="J49" s="23"/>
      <c r="K49" s="25">
        <f>SUM(D49:J49)</f>
        <v>0</v>
      </c>
      <c r="L49" s="7"/>
      <c r="M49" s="26">
        <f t="shared" si="0"/>
        <v>0</v>
      </c>
      <c r="N49" s="30">
        <v>400</v>
      </c>
      <c r="O49" s="32"/>
      <c r="P49" s="28">
        <f t="shared" si="4"/>
        <v>0</v>
      </c>
      <c r="Q49" s="28">
        <f t="shared" si="3"/>
        <v>0</v>
      </c>
      <c r="R49" s="34">
        <v>44</v>
      </c>
    </row>
    <row r="50" spans="2:18" s="4" customFormat="1" ht="18.95" customHeight="1">
      <c r="B50" s="6">
        <v>45</v>
      </c>
      <c r="C50" s="14" t="s">
        <v>72</v>
      </c>
      <c r="D50" s="22"/>
      <c r="E50" s="23">
        <v>1.1000000000000001</v>
      </c>
      <c r="F50" s="24"/>
      <c r="G50" s="23"/>
      <c r="H50" s="23">
        <v>1</v>
      </c>
      <c r="I50" s="23">
        <v>1</v>
      </c>
      <c r="J50" s="23">
        <v>1</v>
      </c>
      <c r="K50" s="25">
        <v>4</v>
      </c>
      <c r="L50" s="7">
        <v>1</v>
      </c>
      <c r="M50" s="26">
        <f t="shared" si="0"/>
        <v>50</v>
      </c>
      <c r="N50" s="30">
        <v>400</v>
      </c>
      <c r="O50" s="32"/>
      <c r="P50" s="28">
        <f t="shared" si="4"/>
        <v>1650</v>
      </c>
      <c r="Q50" s="28">
        <f t="shared" si="3"/>
        <v>1650</v>
      </c>
      <c r="R50" s="34">
        <v>45</v>
      </c>
    </row>
    <row r="51" spans="2:18" s="4" customFormat="1" ht="18.95" customHeight="1">
      <c r="B51" s="6">
        <v>46</v>
      </c>
      <c r="C51" s="14" t="s">
        <v>74</v>
      </c>
      <c r="D51" s="22"/>
      <c r="E51" s="23"/>
      <c r="F51" s="24"/>
      <c r="G51" s="23"/>
      <c r="H51" s="23">
        <v>1</v>
      </c>
      <c r="I51" s="23">
        <v>2</v>
      </c>
      <c r="J51" s="23">
        <v>1</v>
      </c>
      <c r="K51" s="25">
        <f>SUM(D51:J51)</f>
        <v>4</v>
      </c>
      <c r="L51" s="7"/>
      <c r="M51" s="26">
        <f t="shared" si="0"/>
        <v>0</v>
      </c>
      <c r="N51" s="30">
        <v>400</v>
      </c>
      <c r="O51" s="32"/>
      <c r="P51" s="28">
        <f t="shared" si="4"/>
        <v>1600</v>
      </c>
      <c r="Q51" s="28">
        <f t="shared" si="3"/>
        <v>1600</v>
      </c>
      <c r="R51" s="34">
        <v>46</v>
      </c>
    </row>
    <row r="52" spans="2:18" s="4" customFormat="1" ht="18.95" customHeight="1">
      <c r="B52" s="6">
        <v>47</v>
      </c>
      <c r="C52" s="14" t="s">
        <v>75</v>
      </c>
      <c r="D52" s="22"/>
      <c r="E52" s="23">
        <v>1.4</v>
      </c>
      <c r="F52" s="24"/>
      <c r="G52" s="23"/>
      <c r="H52" s="23"/>
      <c r="I52" s="23">
        <v>1.4</v>
      </c>
      <c r="J52" s="23">
        <v>1.4</v>
      </c>
      <c r="K52" s="25">
        <v>3</v>
      </c>
      <c r="L52" s="7">
        <v>12</v>
      </c>
      <c r="M52" s="26">
        <f t="shared" si="0"/>
        <v>600</v>
      </c>
      <c r="N52" s="30">
        <v>400</v>
      </c>
      <c r="O52" s="32"/>
      <c r="P52" s="28">
        <f t="shared" si="4"/>
        <v>1800</v>
      </c>
      <c r="Q52" s="28">
        <f t="shared" si="3"/>
        <v>1800</v>
      </c>
      <c r="R52" s="34">
        <v>47</v>
      </c>
    </row>
    <row r="53" spans="2:18" s="4" customFormat="1" ht="18.95" customHeight="1">
      <c r="B53" s="6">
        <v>48</v>
      </c>
      <c r="C53" s="14" t="s">
        <v>76</v>
      </c>
      <c r="D53" s="22">
        <v>2</v>
      </c>
      <c r="E53" s="23">
        <v>1</v>
      </c>
      <c r="F53" s="24">
        <v>2.6</v>
      </c>
      <c r="G53" s="23">
        <v>2</v>
      </c>
      <c r="H53" s="23">
        <v>1</v>
      </c>
      <c r="I53" s="23">
        <v>1</v>
      </c>
      <c r="J53" s="23">
        <v>1</v>
      </c>
      <c r="K53" s="25">
        <v>7</v>
      </c>
      <c r="L53" s="7">
        <v>30</v>
      </c>
      <c r="M53" s="26">
        <f t="shared" si="0"/>
        <v>1500</v>
      </c>
      <c r="N53" s="30">
        <v>400</v>
      </c>
      <c r="O53" s="32"/>
      <c r="P53" s="28">
        <f>K53*N53+M53+100</f>
        <v>4400</v>
      </c>
      <c r="Q53" s="28">
        <f t="shared" si="3"/>
        <v>4400</v>
      </c>
      <c r="R53" s="34">
        <v>48</v>
      </c>
    </row>
    <row r="54" spans="2:18" s="4" customFormat="1" ht="18.95" customHeight="1">
      <c r="B54" s="6">
        <v>49</v>
      </c>
      <c r="C54" s="14" t="s">
        <v>24</v>
      </c>
      <c r="D54" s="22">
        <v>1</v>
      </c>
      <c r="E54" s="23">
        <v>0.4</v>
      </c>
      <c r="F54" s="24">
        <v>1</v>
      </c>
      <c r="G54" s="23">
        <v>1</v>
      </c>
      <c r="H54" s="23"/>
      <c r="I54" s="23">
        <v>1.4</v>
      </c>
      <c r="J54" s="23">
        <v>1.4</v>
      </c>
      <c r="K54" s="25">
        <v>5</v>
      </c>
      <c r="L54" s="7">
        <v>12</v>
      </c>
      <c r="M54" s="26">
        <f t="shared" si="0"/>
        <v>600</v>
      </c>
      <c r="N54" s="30">
        <v>400</v>
      </c>
      <c r="O54" s="32"/>
      <c r="P54" s="28">
        <f>K54*N54+M54+50</f>
        <v>2650</v>
      </c>
      <c r="Q54" s="28">
        <f t="shared" si="3"/>
        <v>2650</v>
      </c>
      <c r="R54" s="34">
        <v>49</v>
      </c>
    </row>
    <row r="55" spans="2:18" s="4" customFormat="1" ht="18.95" customHeight="1">
      <c r="B55" s="6">
        <v>50</v>
      </c>
      <c r="C55" s="14" t="s">
        <v>25</v>
      </c>
      <c r="D55" s="22">
        <v>1</v>
      </c>
      <c r="E55" s="23">
        <v>1</v>
      </c>
      <c r="F55" s="24"/>
      <c r="G55" s="23"/>
      <c r="H55" s="23"/>
      <c r="I55" s="23">
        <v>1</v>
      </c>
      <c r="J55" s="23">
        <v>1</v>
      </c>
      <c r="K55" s="25">
        <f>SUM(D55:J55)</f>
        <v>4</v>
      </c>
      <c r="L55" s="7"/>
      <c r="M55" s="26">
        <f t="shared" si="0"/>
        <v>0</v>
      </c>
      <c r="N55" s="30">
        <v>400</v>
      </c>
      <c r="O55" s="32"/>
      <c r="P55" s="28">
        <f t="shared" si="4"/>
        <v>1600</v>
      </c>
      <c r="Q55" s="28">
        <f t="shared" si="3"/>
        <v>1600</v>
      </c>
      <c r="R55" s="34">
        <v>50</v>
      </c>
    </row>
    <row r="56" spans="2:18" s="4" customFormat="1" ht="18.95" customHeight="1">
      <c r="B56" s="6">
        <v>51</v>
      </c>
      <c r="C56" s="14" t="s">
        <v>29</v>
      </c>
      <c r="D56" s="22">
        <v>1</v>
      </c>
      <c r="E56" s="23"/>
      <c r="F56" s="24"/>
      <c r="G56" s="23">
        <v>1.3</v>
      </c>
      <c r="H56" s="23">
        <v>1</v>
      </c>
      <c r="I56" s="23">
        <v>1</v>
      </c>
      <c r="J56" s="23">
        <v>1</v>
      </c>
      <c r="K56" s="25">
        <v>5</v>
      </c>
      <c r="L56" s="7">
        <v>3</v>
      </c>
      <c r="M56" s="26">
        <f t="shared" si="0"/>
        <v>150</v>
      </c>
      <c r="N56" s="30">
        <v>400</v>
      </c>
      <c r="O56" s="32"/>
      <c r="P56" s="28">
        <f t="shared" si="4"/>
        <v>2150</v>
      </c>
      <c r="Q56" s="28">
        <f t="shared" si="3"/>
        <v>2150</v>
      </c>
      <c r="R56" s="34">
        <v>51</v>
      </c>
    </row>
    <row r="57" spans="2:18" s="4" customFormat="1" ht="18.95" customHeight="1">
      <c r="B57" s="6">
        <v>52</v>
      </c>
      <c r="C57" s="14" t="s">
        <v>100</v>
      </c>
      <c r="D57" s="22">
        <v>1</v>
      </c>
      <c r="E57" s="23">
        <v>2.4</v>
      </c>
      <c r="F57" s="24">
        <v>1</v>
      </c>
      <c r="G57" s="23"/>
      <c r="H57" s="23">
        <v>1</v>
      </c>
      <c r="I57" s="23">
        <v>1</v>
      </c>
      <c r="J57" s="23">
        <v>1</v>
      </c>
      <c r="K57" s="25">
        <v>6</v>
      </c>
      <c r="L57" s="7">
        <v>12</v>
      </c>
      <c r="M57" s="26">
        <f t="shared" si="0"/>
        <v>600</v>
      </c>
      <c r="N57" s="30">
        <v>400</v>
      </c>
      <c r="O57" s="32"/>
      <c r="P57" s="28">
        <f>K57*N57+M57+50</f>
        <v>3050</v>
      </c>
      <c r="Q57" s="28">
        <f t="shared" si="3"/>
        <v>3050</v>
      </c>
      <c r="R57" s="34">
        <v>52</v>
      </c>
    </row>
    <row r="58" spans="2:18" s="4" customFormat="1" ht="18.95" customHeight="1">
      <c r="B58" s="6">
        <v>53</v>
      </c>
      <c r="C58" s="14" t="s">
        <v>48</v>
      </c>
      <c r="D58" s="22">
        <v>1</v>
      </c>
      <c r="E58" s="23">
        <v>0.4</v>
      </c>
      <c r="F58" s="24">
        <v>1</v>
      </c>
      <c r="G58" s="23">
        <v>1</v>
      </c>
      <c r="H58" s="23"/>
      <c r="I58" s="23">
        <v>1.4</v>
      </c>
      <c r="J58" s="23">
        <v>1.4</v>
      </c>
      <c r="K58" s="25">
        <v>5</v>
      </c>
      <c r="L58" s="7">
        <v>12</v>
      </c>
      <c r="M58" s="26">
        <f t="shared" si="0"/>
        <v>600</v>
      </c>
      <c r="N58" s="30">
        <v>400</v>
      </c>
      <c r="O58" s="32"/>
      <c r="P58" s="28">
        <f>K58*N58+M58+50</f>
        <v>2650</v>
      </c>
      <c r="Q58" s="28">
        <f t="shared" si="3"/>
        <v>2650</v>
      </c>
      <c r="R58" s="34">
        <v>53</v>
      </c>
    </row>
    <row r="59" spans="2:18" s="4" customFormat="1" ht="18.95" customHeight="1">
      <c r="B59" s="6">
        <v>54</v>
      </c>
      <c r="C59" s="14" t="s">
        <v>49</v>
      </c>
      <c r="D59" s="22"/>
      <c r="E59" s="23">
        <v>1.3</v>
      </c>
      <c r="F59" s="24"/>
      <c r="G59" s="23">
        <v>1.3</v>
      </c>
      <c r="H59" s="23">
        <v>1.3</v>
      </c>
      <c r="I59" s="23">
        <v>2.6</v>
      </c>
      <c r="J59" s="23">
        <v>1</v>
      </c>
      <c r="K59" s="25">
        <v>5</v>
      </c>
      <c r="L59" s="7">
        <v>23</v>
      </c>
      <c r="M59" s="26">
        <f t="shared" si="0"/>
        <v>1150</v>
      </c>
      <c r="N59" s="30">
        <v>400</v>
      </c>
      <c r="O59" s="32"/>
      <c r="P59" s="28">
        <f t="shared" si="4"/>
        <v>3150</v>
      </c>
      <c r="Q59" s="28">
        <f t="shared" si="3"/>
        <v>3150</v>
      </c>
      <c r="R59" s="34">
        <v>54</v>
      </c>
    </row>
    <row r="60" spans="2:18" s="4" customFormat="1" ht="18.95" customHeight="1">
      <c r="B60" s="6">
        <v>55</v>
      </c>
      <c r="C60" s="14" t="s">
        <v>66</v>
      </c>
      <c r="D60" s="22">
        <v>0.4</v>
      </c>
      <c r="E60" s="23">
        <v>1</v>
      </c>
      <c r="F60" s="24">
        <v>1</v>
      </c>
      <c r="G60" s="23">
        <v>1</v>
      </c>
      <c r="H60" s="23">
        <v>1.4</v>
      </c>
      <c r="I60" s="23">
        <v>1.4</v>
      </c>
      <c r="J60" s="23">
        <v>1.4</v>
      </c>
      <c r="K60" s="25">
        <v>6</v>
      </c>
      <c r="L60" s="7">
        <v>16</v>
      </c>
      <c r="M60" s="26">
        <f t="shared" si="0"/>
        <v>800</v>
      </c>
      <c r="N60" s="30">
        <v>400</v>
      </c>
      <c r="O60" s="32"/>
      <c r="P60" s="28">
        <f>K60*N60+M60+50</f>
        <v>3250</v>
      </c>
      <c r="Q60" s="28">
        <f t="shared" si="3"/>
        <v>3250</v>
      </c>
      <c r="R60" s="34">
        <v>55</v>
      </c>
    </row>
    <row r="61" spans="2:18" s="4" customFormat="1" ht="18.95" customHeight="1">
      <c r="B61" s="6">
        <v>56</v>
      </c>
      <c r="C61" s="14" t="s">
        <v>61</v>
      </c>
      <c r="D61" s="22">
        <v>0.4</v>
      </c>
      <c r="E61" s="23">
        <v>1.3</v>
      </c>
      <c r="F61" s="24">
        <v>0.4</v>
      </c>
      <c r="G61" s="23">
        <v>1.3</v>
      </c>
      <c r="H61" s="23"/>
      <c r="I61" s="23">
        <v>1.4</v>
      </c>
      <c r="J61" s="23">
        <v>1.3</v>
      </c>
      <c r="K61" s="25">
        <v>4</v>
      </c>
      <c r="L61" s="7">
        <v>21</v>
      </c>
      <c r="M61" s="26">
        <f t="shared" si="0"/>
        <v>1050</v>
      </c>
      <c r="N61" s="30">
        <v>400</v>
      </c>
      <c r="O61" s="32"/>
      <c r="P61" s="28">
        <f t="shared" si="4"/>
        <v>2650</v>
      </c>
      <c r="Q61" s="28">
        <f t="shared" si="3"/>
        <v>2650</v>
      </c>
      <c r="R61" s="34">
        <v>56</v>
      </c>
    </row>
    <row r="62" spans="2:18" s="4" customFormat="1" ht="18.95" customHeight="1">
      <c r="B62" s="6">
        <v>57</v>
      </c>
      <c r="C62" s="14" t="s">
        <v>71</v>
      </c>
      <c r="D62" s="22">
        <v>1.4</v>
      </c>
      <c r="E62" s="23">
        <v>1.4</v>
      </c>
      <c r="F62" s="24">
        <v>1</v>
      </c>
      <c r="G62" s="23">
        <v>0.4</v>
      </c>
      <c r="H62" s="23">
        <v>1.4</v>
      </c>
      <c r="I62" s="23">
        <v>1.4</v>
      </c>
      <c r="J62" s="23">
        <v>1.4</v>
      </c>
      <c r="K62" s="25">
        <v>6</v>
      </c>
      <c r="L62" s="7">
        <v>24</v>
      </c>
      <c r="M62" s="26">
        <f t="shared" si="0"/>
        <v>1200</v>
      </c>
      <c r="N62" s="30">
        <v>400</v>
      </c>
      <c r="O62" s="32"/>
      <c r="P62" s="28">
        <f>K62*N62+M62+50</f>
        <v>3650</v>
      </c>
      <c r="Q62" s="28">
        <f t="shared" si="3"/>
        <v>3650</v>
      </c>
      <c r="R62" s="34">
        <v>57</v>
      </c>
    </row>
    <row r="63" spans="2:18" s="4" customFormat="1" ht="18.95" customHeight="1">
      <c r="B63" s="6">
        <v>58</v>
      </c>
      <c r="C63" s="14" t="s">
        <v>73</v>
      </c>
      <c r="D63" s="22"/>
      <c r="E63" s="23">
        <v>1</v>
      </c>
      <c r="F63" s="24"/>
      <c r="G63" s="23"/>
      <c r="H63" s="23"/>
      <c r="I63" s="23"/>
      <c r="J63" s="23"/>
      <c r="K63" s="25">
        <f>SUM(D63:J63)</f>
        <v>1</v>
      </c>
      <c r="L63" s="7"/>
      <c r="M63" s="26">
        <f t="shared" si="0"/>
        <v>0</v>
      </c>
      <c r="N63" s="30">
        <v>400</v>
      </c>
      <c r="O63" s="32"/>
      <c r="P63" s="28">
        <f t="shared" si="4"/>
        <v>400</v>
      </c>
      <c r="Q63" s="28">
        <f t="shared" si="3"/>
        <v>400</v>
      </c>
      <c r="R63" s="34">
        <v>58</v>
      </c>
    </row>
    <row r="64" spans="2:18" s="4" customFormat="1" ht="18.95" customHeight="1">
      <c r="B64" s="6">
        <v>59</v>
      </c>
      <c r="C64" s="14" t="s">
        <v>92</v>
      </c>
      <c r="D64" s="22">
        <v>1.4</v>
      </c>
      <c r="E64" s="23">
        <v>1</v>
      </c>
      <c r="F64" s="24">
        <v>1</v>
      </c>
      <c r="G64" s="23">
        <v>1</v>
      </c>
      <c r="H64" s="23">
        <v>1</v>
      </c>
      <c r="I64" s="23">
        <v>1</v>
      </c>
      <c r="J64" s="23">
        <v>1</v>
      </c>
      <c r="K64" s="25">
        <v>7</v>
      </c>
      <c r="L64" s="7">
        <v>4</v>
      </c>
      <c r="M64" s="26">
        <f t="shared" si="0"/>
        <v>200</v>
      </c>
      <c r="N64" s="30">
        <v>400</v>
      </c>
      <c r="O64" s="32"/>
      <c r="P64" s="28">
        <f>K64*N64+M64+50</f>
        <v>3050</v>
      </c>
      <c r="Q64" s="28">
        <f t="shared" si="3"/>
        <v>3050</v>
      </c>
      <c r="R64" s="34">
        <v>59</v>
      </c>
    </row>
    <row r="65" spans="2:18" s="4" customFormat="1" ht="18.95" customHeight="1">
      <c r="B65" s="6">
        <v>60</v>
      </c>
      <c r="C65" s="14" t="s">
        <v>21</v>
      </c>
      <c r="D65" s="22">
        <v>1.2</v>
      </c>
      <c r="E65" s="23">
        <v>1.3</v>
      </c>
      <c r="F65" s="24">
        <v>1.3</v>
      </c>
      <c r="G65" s="23">
        <v>1.3</v>
      </c>
      <c r="H65" s="23">
        <v>1.3</v>
      </c>
      <c r="I65" s="23">
        <v>1.3</v>
      </c>
      <c r="J65" s="23">
        <v>1.3</v>
      </c>
      <c r="K65" s="25">
        <v>7</v>
      </c>
      <c r="L65" s="7">
        <v>20</v>
      </c>
      <c r="M65" s="26">
        <f t="shared" si="0"/>
        <v>1000</v>
      </c>
      <c r="N65" s="30">
        <v>400</v>
      </c>
      <c r="O65" s="32"/>
      <c r="P65" s="28">
        <f>K65*N65+M65+50</f>
        <v>3850</v>
      </c>
      <c r="Q65" s="28">
        <f t="shared" si="3"/>
        <v>3850</v>
      </c>
      <c r="R65" s="34">
        <v>60</v>
      </c>
    </row>
    <row r="66" spans="2:18" s="4" customFormat="1" ht="18.95" customHeight="1">
      <c r="B66" s="6">
        <v>61</v>
      </c>
      <c r="C66" s="14" t="s">
        <v>56</v>
      </c>
      <c r="D66" s="22">
        <v>1.3</v>
      </c>
      <c r="E66" s="23">
        <v>0.4</v>
      </c>
      <c r="F66" s="9">
        <v>1.3</v>
      </c>
      <c r="G66" s="23">
        <v>1.3</v>
      </c>
      <c r="H66" s="23">
        <v>1.4</v>
      </c>
      <c r="I66" s="23">
        <v>1.4</v>
      </c>
      <c r="J66" s="23">
        <v>1.3</v>
      </c>
      <c r="K66" s="25">
        <v>6</v>
      </c>
      <c r="L66" s="7">
        <v>24</v>
      </c>
      <c r="M66" s="26">
        <f t="shared" si="0"/>
        <v>1200</v>
      </c>
      <c r="N66" s="30">
        <v>400</v>
      </c>
      <c r="O66" s="32"/>
      <c r="P66" s="28">
        <f>K66*N66+M66+50</f>
        <v>3650</v>
      </c>
      <c r="Q66" s="28">
        <f t="shared" si="3"/>
        <v>3650</v>
      </c>
      <c r="R66" s="34">
        <v>61</v>
      </c>
    </row>
    <row r="67" spans="2:18" s="4" customFormat="1" ht="18.95" customHeight="1">
      <c r="B67" s="6">
        <v>62</v>
      </c>
      <c r="C67" s="14" t="s">
        <v>36</v>
      </c>
      <c r="D67" s="26">
        <v>0.6</v>
      </c>
      <c r="E67" s="26">
        <v>0.6</v>
      </c>
      <c r="F67" s="35"/>
      <c r="G67" s="26"/>
      <c r="H67" s="26"/>
      <c r="I67" s="26"/>
      <c r="J67" s="26"/>
      <c r="K67" s="25">
        <v>1</v>
      </c>
      <c r="L67" s="7">
        <v>4</v>
      </c>
      <c r="M67" s="26">
        <f t="shared" si="0"/>
        <v>250</v>
      </c>
      <c r="N67" s="30">
        <v>500</v>
      </c>
      <c r="O67" s="32"/>
      <c r="P67" s="28">
        <f t="shared" si="4"/>
        <v>750</v>
      </c>
      <c r="Q67" s="28">
        <f t="shared" si="3"/>
        <v>750</v>
      </c>
      <c r="R67" s="34">
        <v>62</v>
      </c>
    </row>
    <row r="68" spans="2:18" s="4" customFormat="1" ht="18.95" customHeight="1">
      <c r="B68" s="6">
        <v>63</v>
      </c>
      <c r="C68" s="14" t="s">
        <v>42</v>
      </c>
      <c r="D68" s="26">
        <v>2</v>
      </c>
      <c r="E68" s="26">
        <v>1</v>
      </c>
      <c r="F68" s="35">
        <v>2.2000000000000002</v>
      </c>
      <c r="G68" s="26">
        <v>1.4</v>
      </c>
      <c r="H68" s="26">
        <v>1.4</v>
      </c>
      <c r="I68" s="26">
        <v>1.4</v>
      </c>
      <c r="J68" s="26">
        <v>1.3</v>
      </c>
      <c r="K68" s="25">
        <v>7</v>
      </c>
      <c r="L68" s="7">
        <v>33</v>
      </c>
      <c r="M68" s="26">
        <f t="shared" si="0"/>
        <v>1650</v>
      </c>
      <c r="N68" s="30">
        <v>400</v>
      </c>
      <c r="O68" s="32"/>
      <c r="P68" s="28">
        <f>K68*N68+M68+100</f>
        <v>4550</v>
      </c>
      <c r="Q68" s="28">
        <f t="shared" si="3"/>
        <v>4550</v>
      </c>
      <c r="R68" s="34">
        <v>63</v>
      </c>
    </row>
    <row r="69" spans="2:18" s="4" customFormat="1" ht="18.95" customHeight="1">
      <c r="B69" s="6">
        <v>64</v>
      </c>
      <c r="C69" s="14" t="s">
        <v>43</v>
      </c>
      <c r="D69" s="26"/>
      <c r="E69" s="26"/>
      <c r="F69" s="35"/>
      <c r="G69" s="26"/>
      <c r="H69" s="26">
        <v>1.4</v>
      </c>
      <c r="I69" s="26">
        <v>1.3</v>
      </c>
      <c r="J69" s="26">
        <v>1.3</v>
      </c>
      <c r="K69" s="25">
        <v>3</v>
      </c>
      <c r="L69" s="7">
        <v>10</v>
      </c>
      <c r="M69" s="26">
        <f t="shared" si="0"/>
        <v>500</v>
      </c>
      <c r="N69" s="30">
        <v>400</v>
      </c>
      <c r="O69" s="32"/>
      <c r="P69" s="28">
        <f t="shared" si="4"/>
        <v>1700</v>
      </c>
      <c r="Q69" s="28">
        <f t="shared" si="3"/>
        <v>1700</v>
      </c>
      <c r="R69" s="34">
        <v>64</v>
      </c>
    </row>
    <row r="70" spans="2:18" s="4" customFormat="1" ht="18.95" customHeight="1">
      <c r="B70" s="6"/>
      <c r="C70" s="14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30"/>
      <c r="O70" s="32"/>
      <c r="P70" s="28"/>
      <c r="Q70" s="28"/>
      <c r="R70" s="34"/>
    </row>
    <row r="71" spans="2:18" s="4" customFormat="1" ht="18.95" customHeight="1">
      <c r="B71" s="6"/>
      <c r="C71" s="14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30"/>
      <c r="O71" s="32"/>
      <c r="P71" s="28"/>
      <c r="Q71" s="28"/>
      <c r="R71" s="34"/>
    </row>
    <row r="72" spans="2:18" s="4" customFormat="1" ht="20.100000000000001" customHeight="1">
      <c r="C72" s="36" t="s">
        <v>85</v>
      </c>
      <c r="D72" s="36"/>
      <c r="E72" s="36"/>
      <c r="F72" s="36"/>
      <c r="G72" s="36"/>
      <c r="H72" s="37"/>
      <c r="I72" s="36"/>
      <c r="J72" s="36"/>
      <c r="K72" s="36"/>
      <c r="L72" s="36"/>
      <c r="M72" s="36"/>
      <c r="N72" s="32"/>
      <c r="O72" s="32"/>
      <c r="P72" s="42">
        <f>SUM(P8:P71)+P4+P5</f>
        <v>164400</v>
      </c>
      <c r="Q72" s="42">
        <f>SUM(Q8:Q71)+Q4+Q5</f>
        <v>162900</v>
      </c>
      <c r="R72" s="4" t="s">
        <v>102</v>
      </c>
    </row>
    <row r="73" spans="2:18" ht="11.1" customHeight="1">
      <c r="C73" s="38"/>
      <c r="D73" s="38"/>
      <c r="E73" s="39"/>
      <c r="F73" s="39"/>
      <c r="G73" s="39"/>
      <c r="H73" s="39"/>
      <c r="I73" s="39"/>
      <c r="J73" s="39"/>
      <c r="K73" s="43"/>
      <c r="L73" s="44"/>
      <c r="M73" s="38"/>
      <c r="N73" s="45"/>
      <c r="O73" s="45"/>
      <c r="P73" s="45"/>
      <c r="Q73" s="45"/>
    </row>
    <row r="74" spans="2:18" ht="12.95" customHeight="1">
      <c r="C74" s="38"/>
      <c r="D74" s="38"/>
      <c r="E74" s="39"/>
      <c r="F74" s="39"/>
      <c r="G74" s="39"/>
      <c r="H74" s="39"/>
      <c r="I74" s="39"/>
      <c r="J74" s="39"/>
      <c r="K74" s="43"/>
      <c r="L74" s="44"/>
      <c r="M74" s="38"/>
      <c r="N74" s="45"/>
      <c r="O74" s="45"/>
      <c r="P74" s="45"/>
      <c r="Q74" s="45"/>
    </row>
    <row r="75" spans="2:18">
      <c r="C75" s="38" t="s">
        <v>86</v>
      </c>
      <c r="D75" s="38"/>
      <c r="E75" s="39"/>
      <c r="F75" s="39"/>
      <c r="G75" s="39"/>
      <c r="H75" s="39"/>
      <c r="I75" s="39"/>
      <c r="J75" s="39"/>
      <c r="K75" s="43"/>
      <c r="L75" s="44"/>
      <c r="M75" s="38"/>
    </row>
    <row r="76" spans="2:18">
      <c r="C76" s="40" t="s">
        <v>87</v>
      </c>
      <c r="K76" s="43"/>
      <c r="L76" s="44"/>
    </row>
    <row r="77" spans="2:18">
      <c r="K77" s="43"/>
      <c r="L77" s="44"/>
    </row>
    <row r="78" spans="2:18">
      <c r="K78" s="43"/>
      <c r="L78" s="44"/>
    </row>
    <row r="79" spans="2:18">
      <c r="K79" s="43" t="s">
        <v>88</v>
      </c>
      <c r="L79" s="44"/>
    </row>
    <row r="80" spans="2:18">
      <c r="K80" s="43"/>
      <c r="L80" s="44"/>
    </row>
  </sheetData>
  <mergeCells count="3">
    <mergeCell ref="B2:R2"/>
    <mergeCell ref="B3:R3"/>
    <mergeCell ref="B6:R6"/>
  </mergeCells>
  <pageMargins left="0.7" right="0.45" top="0.65500000000000003" bottom="0.75" header="0.3" footer="0.3"/>
  <pageSetup paperSize="9" scale="92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S80"/>
  <sheetViews>
    <sheetView topLeftCell="B64" zoomScale="115" zoomScaleNormal="115" workbookViewId="0">
      <selection activeCell="P72" sqref="P72"/>
    </sheetView>
  </sheetViews>
  <sheetFormatPr defaultColWidth="9" defaultRowHeight="15"/>
  <cols>
    <col min="1" max="1" width="8.140625" hidden="1" customWidth="1"/>
    <col min="2" max="2" width="6" customWidth="1"/>
    <col min="3" max="3" width="20.140625" customWidth="1"/>
    <col min="4" max="4" width="0.140625" hidden="1" customWidth="1"/>
    <col min="5" max="5" width="9.5703125" style="3" hidden="1" customWidth="1"/>
    <col min="6" max="6" width="10" style="3" hidden="1" customWidth="1"/>
    <col min="7" max="7" width="7.140625" style="5" hidden="1" customWidth="1"/>
    <col min="8" max="8" width="8.5703125" style="3" hidden="1" customWidth="1"/>
    <col min="9" max="9" width="8.28515625" style="3" hidden="1" customWidth="1"/>
    <col min="10" max="10" width="8.5703125" style="3" hidden="1" customWidth="1"/>
    <col min="11" max="11" width="5.7109375" customWidth="1"/>
    <col min="12" max="12" width="5.85546875" customWidth="1"/>
    <col min="13" max="13" width="0.140625" customWidth="1"/>
    <col min="14" max="14" width="6.7109375" customWidth="1"/>
    <col min="15" max="15" width="8" customWidth="1"/>
    <col min="16" max="16" width="12.42578125" bestFit="1" customWidth="1"/>
    <col min="17" max="17" width="13" customWidth="1"/>
    <col min="18" max="18" width="10.7109375" customWidth="1"/>
  </cols>
  <sheetData>
    <row r="1" spans="2:19" ht="4.5" customHeight="1"/>
    <row r="2" spans="2:19" ht="23.25">
      <c r="B2" s="53" t="s">
        <v>0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</row>
    <row r="3" spans="2:19" ht="18.75">
      <c r="B3" s="55" t="s">
        <v>103</v>
      </c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</row>
    <row r="4" spans="2:19" s="1" customFormat="1" ht="20.100000000000001" customHeight="1">
      <c r="B4" s="6">
        <v>1</v>
      </c>
      <c r="C4" s="7" t="s">
        <v>2</v>
      </c>
      <c r="D4" s="8">
        <v>1.3</v>
      </c>
      <c r="E4" s="8">
        <v>1.3</v>
      </c>
      <c r="F4" s="9">
        <v>2.7</v>
      </c>
      <c r="G4" s="8">
        <v>1.3</v>
      </c>
      <c r="H4" s="8">
        <v>1.3</v>
      </c>
      <c r="I4" s="8">
        <v>1.3</v>
      </c>
      <c r="J4" s="8">
        <v>1.3</v>
      </c>
      <c r="K4" s="25">
        <v>7</v>
      </c>
      <c r="L4" s="7">
        <v>33</v>
      </c>
      <c r="M4" s="26">
        <f t="shared" ref="M4:M69" si="0">N4/8*L4</f>
        <v>1443.75</v>
      </c>
      <c r="N4" s="27">
        <v>350</v>
      </c>
      <c r="O4" s="27">
        <v>1000</v>
      </c>
      <c r="P4" s="28">
        <f>K4*N4+M4+150</f>
        <v>4043.75</v>
      </c>
      <c r="Q4" s="28">
        <f>P4-O4</f>
        <v>3043.75</v>
      </c>
      <c r="R4" s="34">
        <v>1</v>
      </c>
    </row>
    <row r="5" spans="2:19" s="2" customFormat="1" ht="18.95" customHeight="1">
      <c r="B5" s="6">
        <v>2</v>
      </c>
      <c r="C5" s="7" t="s">
        <v>3</v>
      </c>
      <c r="D5" s="8">
        <v>1.4</v>
      </c>
      <c r="E5" s="8"/>
      <c r="F5" s="9">
        <v>1.4</v>
      </c>
      <c r="G5" s="8">
        <v>2.1</v>
      </c>
      <c r="H5" s="8"/>
      <c r="I5" s="8">
        <v>1.4</v>
      </c>
      <c r="J5" s="8">
        <v>1.4</v>
      </c>
      <c r="K5" s="25">
        <v>5</v>
      </c>
      <c r="L5" s="7">
        <v>25</v>
      </c>
      <c r="M5" s="26">
        <f t="shared" si="0"/>
        <v>1562.5</v>
      </c>
      <c r="N5" s="27">
        <v>500</v>
      </c>
      <c r="O5" s="27"/>
      <c r="P5" s="28">
        <f>K5*N5+M5+150</f>
        <v>4212.5</v>
      </c>
      <c r="Q5" s="28">
        <f>P5-O5</f>
        <v>4212.5</v>
      </c>
      <c r="R5" s="34">
        <v>2</v>
      </c>
    </row>
    <row r="6" spans="2:19" ht="18.75">
      <c r="B6" s="57" t="s">
        <v>4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>
        <v>1</v>
      </c>
    </row>
    <row r="7" spans="2:19" ht="24" customHeight="1">
      <c r="B7" s="10"/>
      <c r="C7" s="11" t="s">
        <v>5</v>
      </c>
      <c r="D7" s="12">
        <v>46038</v>
      </c>
      <c r="E7" s="12">
        <v>46039</v>
      </c>
      <c r="F7" s="13">
        <v>46040</v>
      </c>
      <c r="G7" s="12">
        <v>46041</v>
      </c>
      <c r="H7" s="12">
        <v>46042</v>
      </c>
      <c r="I7" s="12">
        <v>46043</v>
      </c>
      <c r="J7" s="12">
        <v>46044</v>
      </c>
      <c r="K7" s="11" t="s">
        <v>90</v>
      </c>
      <c r="L7" s="11" t="s">
        <v>14</v>
      </c>
      <c r="M7" s="11" t="s">
        <v>15</v>
      </c>
      <c r="N7" s="11" t="s">
        <v>16</v>
      </c>
      <c r="O7" s="11" t="s">
        <v>95</v>
      </c>
      <c r="P7" s="11"/>
      <c r="Q7" s="11"/>
      <c r="R7" s="11" t="s">
        <v>17</v>
      </c>
    </row>
    <row r="8" spans="2:19" s="3" customFormat="1" ht="20.100000000000001" customHeight="1">
      <c r="B8" s="6">
        <v>3</v>
      </c>
      <c r="C8" s="7" t="s">
        <v>18</v>
      </c>
      <c r="D8" s="8">
        <v>1</v>
      </c>
      <c r="E8" s="8"/>
      <c r="F8" s="9">
        <v>1</v>
      </c>
      <c r="G8" s="8">
        <v>1</v>
      </c>
      <c r="H8" s="8"/>
      <c r="I8" s="8"/>
      <c r="J8" s="8"/>
      <c r="K8" s="25">
        <f>SUM(D8:J8)</f>
        <v>3</v>
      </c>
      <c r="L8" s="7"/>
      <c r="M8" s="26">
        <f t="shared" si="0"/>
        <v>0</v>
      </c>
      <c r="N8" s="27">
        <v>350</v>
      </c>
      <c r="O8" s="27"/>
      <c r="P8" s="28">
        <f>K8*N8+M8+50</f>
        <v>1100</v>
      </c>
      <c r="Q8" s="28">
        <f>P8-O8</f>
        <v>1100</v>
      </c>
      <c r="R8" s="34">
        <v>3</v>
      </c>
    </row>
    <row r="9" spans="2:19" s="3" customFormat="1" ht="20.100000000000001" customHeight="1">
      <c r="B9" s="6">
        <v>4</v>
      </c>
      <c r="C9" s="7" t="s">
        <v>19</v>
      </c>
      <c r="D9" s="8">
        <v>1.4</v>
      </c>
      <c r="E9" s="8">
        <v>1.4</v>
      </c>
      <c r="F9" s="9">
        <v>1.4</v>
      </c>
      <c r="G9" s="8">
        <v>1.4</v>
      </c>
      <c r="H9" s="8"/>
      <c r="I9" s="8">
        <v>1.4</v>
      </c>
      <c r="J9" s="8">
        <v>1.4</v>
      </c>
      <c r="K9" s="25">
        <v>6</v>
      </c>
      <c r="L9" s="7">
        <v>24</v>
      </c>
      <c r="M9" s="26">
        <f t="shared" si="0"/>
        <v>1200</v>
      </c>
      <c r="N9" s="27">
        <v>400</v>
      </c>
      <c r="O9" s="27"/>
      <c r="P9" s="28">
        <f>K9*N9+M9+50</f>
        <v>3650</v>
      </c>
      <c r="Q9" s="28">
        <f t="shared" ref="Q9:Q40" si="1">P9-O9</f>
        <v>3650</v>
      </c>
      <c r="R9" s="34">
        <v>4</v>
      </c>
    </row>
    <row r="10" spans="2:19" ht="20.100000000000001" customHeight="1">
      <c r="B10" s="6">
        <v>5</v>
      </c>
      <c r="C10" s="7" t="s">
        <v>20</v>
      </c>
      <c r="D10" s="8"/>
      <c r="E10" s="8">
        <v>1.4</v>
      </c>
      <c r="F10" s="9">
        <v>1</v>
      </c>
      <c r="G10" s="8">
        <v>1.4</v>
      </c>
      <c r="H10" s="8"/>
      <c r="I10" s="8">
        <v>1.3</v>
      </c>
      <c r="J10" s="8">
        <v>1.3</v>
      </c>
      <c r="K10" s="25">
        <v>5</v>
      </c>
      <c r="L10" s="7">
        <v>14</v>
      </c>
      <c r="M10" s="26">
        <f t="shared" si="0"/>
        <v>700</v>
      </c>
      <c r="N10" s="27">
        <v>400</v>
      </c>
      <c r="O10" s="27"/>
      <c r="P10" s="28">
        <f>K10*N10+M10+50</f>
        <v>2750</v>
      </c>
      <c r="Q10" s="28">
        <f t="shared" si="1"/>
        <v>2750</v>
      </c>
      <c r="R10" s="34">
        <v>5</v>
      </c>
    </row>
    <row r="11" spans="2:19" s="3" customFormat="1" ht="20.100000000000001" customHeight="1">
      <c r="B11" s="6">
        <v>6</v>
      </c>
      <c r="C11" s="7" t="s">
        <v>22</v>
      </c>
      <c r="D11" s="8">
        <v>1.4</v>
      </c>
      <c r="E11" s="8">
        <v>1.4</v>
      </c>
      <c r="F11" s="9">
        <v>1</v>
      </c>
      <c r="G11" s="8"/>
      <c r="H11" s="8">
        <v>2</v>
      </c>
      <c r="I11" s="8">
        <v>2.4</v>
      </c>
      <c r="J11" s="8">
        <v>1.4</v>
      </c>
      <c r="K11" s="25">
        <v>6</v>
      </c>
      <c r="L11" s="7">
        <v>32</v>
      </c>
      <c r="M11" s="26">
        <f t="shared" si="0"/>
        <v>1600</v>
      </c>
      <c r="N11" s="26">
        <v>400</v>
      </c>
      <c r="O11" s="26"/>
      <c r="P11" s="28">
        <f>K11*N11+M11+50</f>
        <v>4050</v>
      </c>
      <c r="Q11" s="28">
        <f t="shared" si="1"/>
        <v>4050</v>
      </c>
      <c r="R11" s="34">
        <v>6</v>
      </c>
    </row>
    <row r="12" spans="2:19" s="3" customFormat="1" ht="20.100000000000001" customHeight="1">
      <c r="B12" s="6">
        <v>7</v>
      </c>
      <c r="C12" s="14" t="s">
        <v>23</v>
      </c>
      <c r="D12" s="8">
        <v>1.4</v>
      </c>
      <c r="E12" s="8">
        <v>1</v>
      </c>
      <c r="F12" s="9">
        <v>1</v>
      </c>
      <c r="G12" s="8">
        <v>1.4</v>
      </c>
      <c r="H12" s="8">
        <v>1.4</v>
      </c>
      <c r="I12" s="8">
        <v>1.4</v>
      </c>
      <c r="J12" s="8">
        <v>1.4</v>
      </c>
      <c r="K12" s="25">
        <v>7</v>
      </c>
      <c r="L12" s="7">
        <v>20</v>
      </c>
      <c r="M12" s="26">
        <f t="shared" si="0"/>
        <v>1000</v>
      </c>
      <c r="N12" s="26">
        <v>400</v>
      </c>
      <c r="O12" s="26"/>
      <c r="P12" s="28">
        <f>K12*N12+M12+50</f>
        <v>3850</v>
      </c>
      <c r="Q12" s="28">
        <f t="shared" si="1"/>
        <v>3850</v>
      </c>
      <c r="R12" s="34">
        <v>7</v>
      </c>
    </row>
    <row r="13" spans="2:19" ht="20.100000000000001" customHeight="1">
      <c r="B13" s="6">
        <v>8</v>
      </c>
      <c r="C13" s="14" t="s">
        <v>26</v>
      </c>
      <c r="D13" s="8">
        <v>1</v>
      </c>
      <c r="E13" s="8">
        <v>1</v>
      </c>
      <c r="F13" s="9"/>
      <c r="G13" s="8">
        <v>1</v>
      </c>
      <c r="H13" s="8">
        <v>1</v>
      </c>
      <c r="I13" s="8">
        <v>1</v>
      </c>
      <c r="J13" s="8">
        <v>1</v>
      </c>
      <c r="K13" s="25">
        <f t="shared" ref="K13:K27" si="2">SUM(D13:J13)</f>
        <v>6</v>
      </c>
      <c r="L13" s="7"/>
      <c r="M13" s="26">
        <f t="shared" si="0"/>
        <v>0</v>
      </c>
      <c r="N13" s="27">
        <v>400</v>
      </c>
      <c r="O13" s="27"/>
      <c r="P13" s="28">
        <f>K13*N13+M13</f>
        <v>2400</v>
      </c>
      <c r="Q13" s="28">
        <f t="shared" si="1"/>
        <v>2400</v>
      </c>
      <c r="R13" s="34">
        <v>8</v>
      </c>
    </row>
    <row r="14" spans="2:19" ht="20.100000000000001" customHeight="1">
      <c r="B14" s="6">
        <v>9</v>
      </c>
      <c r="C14" s="14" t="s">
        <v>27</v>
      </c>
      <c r="D14" s="8">
        <v>1</v>
      </c>
      <c r="E14" s="8">
        <v>1</v>
      </c>
      <c r="F14" s="9">
        <v>1</v>
      </c>
      <c r="G14" s="8">
        <v>1</v>
      </c>
      <c r="H14" s="8">
        <v>1.4</v>
      </c>
      <c r="I14" s="8">
        <v>1.4</v>
      </c>
      <c r="J14" s="8"/>
      <c r="K14" s="25">
        <v>6</v>
      </c>
      <c r="L14" s="7">
        <v>8</v>
      </c>
      <c r="M14" s="26">
        <f t="shared" si="0"/>
        <v>400</v>
      </c>
      <c r="N14" s="27">
        <v>400</v>
      </c>
      <c r="O14" s="27"/>
      <c r="P14" s="28">
        <f>K14*N14+M14+50</f>
        <v>2850</v>
      </c>
      <c r="Q14" s="28">
        <f t="shared" si="1"/>
        <v>2850</v>
      </c>
      <c r="R14" s="34">
        <v>9</v>
      </c>
    </row>
    <row r="15" spans="2:19" ht="20.100000000000001" customHeight="1">
      <c r="B15" s="6">
        <v>10</v>
      </c>
      <c r="C15" s="15" t="s">
        <v>96</v>
      </c>
      <c r="D15" s="8"/>
      <c r="E15" s="8"/>
      <c r="F15" s="9"/>
      <c r="G15" s="8"/>
      <c r="H15" s="8"/>
      <c r="I15" s="8"/>
      <c r="J15" s="8"/>
      <c r="K15" s="25">
        <f t="shared" si="2"/>
        <v>0</v>
      </c>
      <c r="L15" s="7"/>
      <c r="M15" s="26">
        <f t="shared" si="0"/>
        <v>0</v>
      </c>
      <c r="N15" s="26">
        <v>400</v>
      </c>
      <c r="O15" s="26"/>
      <c r="P15" s="28">
        <f>K15*N15+M15</f>
        <v>0</v>
      </c>
      <c r="Q15" s="28">
        <f t="shared" si="1"/>
        <v>0</v>
      </c>
      <c r="R15" s="34">
        <v>10</v>
      </c>
    </row>
    <row r="16" spans="2:19" ht="20.100000000000001" customHeight="1">
      <c r="B16" s="6">
        <v>11</v>
      </c>
      <c r="C16" s="15" t="s">
        <v>28</v>
      </c>
      <c r="D16" s="8">
        <v>1</v>
      </c>
      <c r="E16" s="8">
        <v>1</v>
      </c>
      <c r="F16" s="9">
        <v>1</v>
      </c>
      <c r="G16" s="8"/>
      <c r="H16" s="8"/>
      <c r="I16" s="8">
        <v>1</v>
      </c>
      <c r="J16" s="8">
        <v>1</v>
      </c>
      <c r="K16" s="25">
        <f t="shared" si="2"/>
        <v>5</v>
      </c>
      <c r="L16" s="7"/>
      <c r="M16" s="26">
        <f t="shared" si="0"/>
        <v>0</v>
      </c>
      <c r="N16" s="26">
        <v>400</v>
      </c>
      <c r="O16" s="26"/>
      <c r="P16" s="28">
        <f t="shared" ref="P16:P27" si="3">K16*N16+M16+50</f>
        <v>2050</v>
      </c>
      <c r="Q16" s="28">
        <f t="shared" si="1"/>
        <v>2050</v>
      </c>
      <c r="R16" s="34">
        <v>11</v>
      </c>
    </row>
    <row r="17" spans="2:18" ht="20.100000000000001" customHeight="1">
      <c r="B17" s="6">
        <v>12</v>
      </c>
      <c r="C17" s="7" t="s">
        <v>30</v>
      </c>
      <c r="D17" s="8">
        <v>1</v>
      </c>
      <c r="E17" s="8">
        <v>1</v>
      </c>
      <c r="F17" s="9">
        <v>1</v>
      </c>
      <c r="G17" s="8">
        <v>1</v>
      </c>
      <c r="H17" s="8">
        <v>1</v>
      </c>
      <c r="I17" s="8">
        <v>1</v>
      </c>
      <c r="J17" s="8">
        <v>1</v>
      </c>
      <c r="K17" s="25">
        <f t="shared" si="2"/>
        <v>7</v>
      </c>
      <c r="L17" s="7"/>
      <c r="M17" s="26">
        <f t="shared" si="0"/>
        <v>0</v>
      </c>
      <c r="N17" s="26">
        <v>400</v>
      </c>
      <c r="O17" s="26"/>
      <c r="P17" s="28">
        <f t="shared" si="3"/>
        <v>2850</v>
      </c>
      <c r="Q17" s="28">
        <f t="shared" si="1"/>
        <v>2850</v>
      </c>
      <c r="R17" s="34">
        <v>12</v>
      </c>
    </row>
    <row r="18" spans="2:18" ht="20.100000000000001" customHeight="1">
      <c r="B18" s="6">
        <v>13</v>
      </c>
      <c r="C18" s="7" t="s">
        <v>31</v>
      </c>
      <c r="D18" s="8"/>
      <c r="E18" s="8">
        <v>1</v>
      </c>
      <c r="F18" s="9">
        <v>1</v>
      </c>
      <c r="G18" s="8">
        <v>1</v>
      </c>
      <c r="H18" s="8">
        <v>1</v>
      </c>
      <c r="I18" s="8">
        <v>1</v>
      </c>
      <c r="J18" s="8">
        <v>1</v>
      </c>
      <c r="K18" s="25">
        <f t="shared" si="2"/>
        <v>6</v>
      </c>
      <c r="L18" s="7"/>
      <c r="M18" s="26">
        <f t="shared" si="0"/>
        <v>0</v>
      </c>
      <c r="N18" s="26">
        <v>400</v>
      </c>
      <c r="O18" s="26"/>
      <c r="P18" s="28">
        <f t="shared" si="3"/>
        <v>2450</v>
      </c>
      <c r="Q18" s="28">
        <f t="shared" si="1"/>
        <v>2450</v>
      </c>
      <c r="R18" s="34">
        <v>13</v>
      </c>
    </row>
    <row r="19" spans="2:18" ht="20.100000000000001" customHeight="1">
      <c r="B19" s="6">
        <v>14</v>
      </c>
      <c r="C19" s="7" t="s">
        <v>32</v>
      </c>
      <c r="D19" s="8"/>
      <c r="E19" s="8"/>
      <c r="F19" s="9">
        <v>1.4</v>
      </c>
      <c r="G19" s="8">
        <v>1.4</v>
      </c>
      <c r="H19" s="8">
        <v>1.4</v>
      </c>
      <c r="I19" s="8">
        <v>1.4</v>
      </c>
      <c r="J19" s="8">
        <v>1.4</v>
      </c>
      <c r="K19" s="25">
        <v>5</v>
      </c>
      <c r="L19" s="7">
        <v>20</v>
      </c>
      <c r="M19" s="26">
        <f t="shared" si="0"/>
        <v>1000</v>
      </c>
      <c r="N19" s="27">
        <v>400</v>
      </c>
      <c r="O19" s="27"/>
      <c r="P19" s="28">
        <f t="shared" si="3"/>
        <v>3050</v>
      </c>
      <c r="Q19" s="28">
        <f t="shared" si="1"/>
        <v>3050</v>
      </c>
      <c r="R19" s="34">
        <v>14</v>
      </c>
    </row>
    <row r="20" spans="2:18" ht="20.100000000000001" customHeight="1">
      <c r="B20" s="6">
        <v>15</v>
      </c>
      <c r="C20" s="7" t="s">
        <v>33</v>
      </c>
      <c r="D20" s="8">
        <v>1</v>
      </c>
      <c r="E20" s="8">
        <v>1</v>
      </c>
      <c r="F20" s="9">
        <v>1</v>
      </c>
      <c r="G20" s="8">
        <v>1</v>
      </c>
      <c r="H20" s="8">
        <v>1</v>
      </c>
      <c r="I20" s="8">
        <v>1</v>
      </c>
      <c r="J20" s="8">
        <v>1</v>
      </c>
      <c r="K20" s="25">
        <f t="shared" si="2"/>
        <v>7</v>
      </c>
      <c r="L20" s="7"/>
      <c r="M20" s="26">
        <f t="shared" si="0"/>
        <v>0</v>
      </c>
      <c r="N20" s="26">
        <v>400</v>
      </c>
      <c r="O20" s="26"/>
      <c r="P20" s="28">
        <f t="shared" si="3"/>
        <v>2850</v>
      </c>
      <c r="Q20" s="28">
        <f t="shared" si="1"/>
        <v>2850</v>
      </c>
      <c r="R20" s="34">
        <v>15</v>
      </c>
    </row>
    <row r="21" spans="2:18" ht="20.100000000000001" customHeight="1">
      <c r="B21" s="6">
        <v>16</v>
      </c>
      <c r="C21" s="7" t="s">
        <v>34</v>
      </c>
      <c r="D21" s="8">
        <v>1</v>
      </c>
      <c r="E21" s="8">
        <v>1</v>
      </c>
      <c r="F21" s="9">
        <v>1</v>
      </c>
      <c r="G21" s="8"/>
      <c r="H21" s="8">
        <v>1</v>
      </c>
      <c r="I21" s="8">
        <v>1</v>
      </c>
      <c r="J21" s="8">
        <v>1</v>
      </c>
      <c r="K21" s="25">
        <f t="shared" si="2"/>
        <v>6</v>
      </c>
      <c r="L21" s="7"/>
      <c r="M21" s="26">
        <f t="shared" si="0"/>
        <v>0</v>
      </c>
      <c r="N21" s="27">
        <v>400</v>
      </c>
      <c r="O21" s="27"/>
      <c r="P21" s="28">
        <f t="shared" si="3"/>
        <v>2450</v>
      </c>
      <c r="Q21" s="28">
        <f t="shared" si="1"/>
        <v>2450</v>
      </c>
      <c r="R21" s="34">
        <v>16</v>
      </c>
    </row>
    <row r="22" spans="2:18" ht="20.100000000000001" customHeight="1">
      <c r="B22" s="6">
        <v>17</v>
      </c>
      <c r="C22" s="7" t="s">
        <v>35</v>
      </c>
      <c r="D22" s="8">
        <v>1.4</v>
      </c>
      <c r="E22" s="8">
        <v>1.3</v>
      </c>
      <c r="F22" s="9">
        <v>1.3</v>
      </c>
      <c r="G22" s="8">
        <v>1.3</v>
      </c>
      <c r="H22" s="8">
        <v>1</v>
      </c>
      <c r="I22" s="8">
        <v>1.2</v>
      </c>
      <c r="J22" s="8">
        <v>1.3</v>
      </c>
      <c r="K22" s="25">
        <v>7</v>
      </c>
      <c r="L22" s="7">
        <v>18</v>
      </c>
      <c r="M22" s="26">
        <f t="shared" si="0"/>
        <v>900</v>
      </c>
      <c r="N22" s="26">
        <v>400</v>
      </c>
      <c r="O22" s="26"/>
      <c r="P22" s="28">
        <f t="shared" si="3"/>
        <v>3750</v>
      </c>
      <c r="Q22" s="28">
        <f t="shared" si="1"/>
        <v>3750</v>
      </c>
      <c r="R22" s="34">
        <v>17</v>
      </c>
    </row>
    <row r="23" spans="2:18" ht="20.100000000000001" customHeight="1">
      <c r="B23" s="6">
        <v>18</v>
      </c>
      <c r="C23" s="7" t="s">
        <v>40</v>
      </c>
      <c r="D23" s="8">
        <v>1</v>
      </c>
      <c r="E23" s="8">
        <v>1</v>
      </c>
      <c r="F23" s="9">
        <v>1</v>
      </c>
      <c r="G23" s="8">
        <v>1</v>
      </c>
      <c r="H23" s="8">
        <v>1</v>
      </c>
      <c r="I23" s="8">
        <v>1</v>
      </c>
      <c r="J23" s="8">
        <v>1</v>
      </c>
      <c r="K23" s="25">
        <f t="shared" si="2"/>
        <v>7</v>
      </c>
      <c r="L23" s="7"/>
      <c r="M23" s="26">
        <f t="shared" si="0"/>
        <v>0</v>
      </c>
      <c r="N23" s="26">
        <v>400</v>
      </c>
      <c r="O23" s="26"/>
      <c r="P23" s="28">
        <f t="shared" si="3"/>
        <v>2850</v>
      </c>
      <c r="Q23" s="28">
        <f t="shared" si="1"/>
        <v>2850</v>
      </c>
      <c r="R23" s="34">
        <v>18</v>
      </c>
    </row>
    <row r="24" spans="2:18" ht="20.100000000000001" customHeight="1">
      <c r="B24" s="6">
        <v>19</v>
      </c>
      <c r="C24" s="7" t="s">
        <v>37</v>
      </c>
      <c r="D24" s="8">
        <v>1</v>
      </c>
      <c r="E24" s="8">
        <v>1</v>
      </c>
      <c r="F24" s="9">
        <v>1</v>
      </c>
      <c r="G24" s="8">
        <v>1</v>
      </c>
      <c r="H24" s="8">
        <v>1</v>
      </c>
      <c r="I24" s="8">
        <v>1</v>
      </c>
      <c r="J24" s="8">
        <v>1</v>
      </c>
      <c r="K24" s="25">
        <f t="shared" si="2"/>
        <v>7</v>
      </c>
      <c r="L24" s="7"/>
      <c r="M24" s="26">
        <f t="shared" si="0"/>
        <v>0</v>
      </c>
      <c r="N24" s="26">
        <v>400</v>
      </c>
      <c r="O24" s="26"/>
      <c r="P24" s="28">
        <f t="shared" si="3"/>
        <v>2850</v>
      </c>
      <c r="Q24" s="28">
        <f t="shared" si="1"/>
        <v>2850</v>
      </c>
      <c r="R24" s="34">
        <v>19</v>
      </c>
    </row>
    <row r="25" spans="2:18" ht="20.100000000000001" customHeight="1">
      <c r="B25" s="6">
        <v>20</v>
      </c>
      <c r="C25" s="7" t="s">
        <v>38</v>
      </c>
      <c r="D25" s="8">
        <v>1</v>
      </c>
      <c r="E25" s="8">
        <v>1</v>
      </c>
      <c r="F25" s="9">
        <v>1</v>
      </c>
      <c r="G25" s="8">
        <v>1</v>
      </c>
      <c r="H25" s="8">
        <v>1</v>
      </c>
      <c r="I25" s="8">
        <v>1</v>
      </c>
      <c r="J25" s="8">
        <v>1</v>
      </c>
      <c r="K25" s="25">
        <f t="shared" si="2"/>
        <v>7</v>
      </c>
      <c r="L25" s="7"/>
      <c r="M25" s="26">
        <f t="shared" si="0"/>
        <v>0</v>
      </c>
      <c r="N25" s="26">
        <v>400</v>
      </c>
      <c r="O25" s="29"/>
      <c r="P25" s="28">
        <f t="shared" si="3"/>
        <v>2850</v>
      </c>
      <c r="Q25" s="28">
        <f t="shared" si="1"/>
        <v>2850</v>
      </c>
      <c r="R25" s="34">
        <v>20</v>
      </c>
    </row>
    <row r="26" spans="2:18" ht="20.100000000000001" customHeight="1">
      <c r="B26" s="6">
        <v>21</v>
      </c>
      <c r="C26" s="14" t="s">
        <v>39</v>
      </c>
      <c r="D26" s="8">
        <v>1</v>
      </c>
      <c r="E26" s="8">
        <v>0.3</v>
      </c>
      <c r="F26" s="9">
        <v>1</v>
      </c>
      <c r="G26" s="8">
        <v>1</v>
      </c>
      <c r="H26" s="8">
        <v>2</v>
      </c>
      <c r="I26" s="8">
        <v>1</v>
      </c>
      <c r="J26" s="8">
        <v>2</v>
      </c>
      <c r="K26" s="25">
        <v>6</v>
      </c>
      <c r="L26" s="7">
        <v>19</v>
      </c>
      <c r="M26" s="26">
        <f t="shared" si="0"/>
        <v>950</v>
      </c>
      <c r="N26" s="26">
        <v>400</v>
      </c>
      <c r="O26" s="29"/>
      <c r="P26" s="28">
        <f t="shared" si="3"/>
        <v>3400</v>
      </c>
      <c r="Q26" s="28">
        <f t="shared" si="1"/>
        <v>3400</v>
      </c>
      <c r="R26" s="34">
        <v>21</v>
      </c>
    </row>
    <row r="27" spans="2:18" ht="20.100000000000001" customHeight="1">
      <c r="B27" s="6">
        <v>22</v>
      </c>
      <c r="C27" s="7" t="s">
        <v>41</v>
      </c>
      <c r="D27" s="8">
        <v>1</v>
      </c>
      <c r="E27" s="8">
        <v>1</v>
      </c>
      <c r="F27" s="9">
        <v>1</v>
      </c>
      <c r="G27" s="8">
        <v>1</v>
      </c>
      <c r="H27" s="8">
        <v>1</v>
      </c>
      <c r="I27" s="8">
        <v>1</v>
      </c>
      <c r="J27" s="8">
        <v>1</v>
      </c>
      <c r="K27" s="25">
        <f t="shared" si="2"/>
        <v>7</v>
      </c>
      <c r="L27" s="7"/>
      <c r="M27" s="26">
        <f t="shared" si="0"/>
        <v>0</v>
      </c>
      <c r="N27" s="26">
        <v>400</v>
      </c>
      <c r="O27" s="29"/>
      <c r="P27" s="28">
        <f t="shared" si="3"/>
        <v>2850</v>
      </c>
      <c r="Q27" s="28">
        <f t="shared" si="1"/>
        <v>2850</v>
      </c>
      <c r="R27" s="34">
        <v>22</v>
      </c>
    </row>
    <row r="28" spans="2:18" ht="20.100000000000001" customHeight="1">
      <c r="B28" s="6">
        <v>23</v>
      </c>
      <c r="C28" s="14" t="s">
        <v>44</v>
      </c>
      <c r="D28" s="8">
        <v>0.4</v>
      </c>
      <c r="E28" s="8">
        <v>2</v>
      </c>
      <c r="F28" s="9"/>
      <c r="G28" s="8">
        <v>1.3</v>
      </c>
      <c r="H28" s="8">
        <v>1.3</v>
      </c>
      <c r="I28" s="8">
        <v>1.3</v>
      </c>
      <c r="J28" s="8">
        <v>1.3</v>
      </c>
      <c r="K28" s="25">
        <v>5</v>
      </c>
      <c r="L28" s="7">
        <v>24</v>
      </c>
      <c r="M28" s="26">
        <f t="shared" si="0"/>
        <v>1200</v>
      </c>
      <c r="N28" s="26">
        <v>400</v>
      </c>
      <c r="O28" s="29"/>
      <c r="P28" s="28">
        <f>K28*N28+M28</f>
        <v>3200</v>
      </c>
      <c r="Q28" s="28">
        <f t="shared" si="1"/>
        <v>3200</v>
      </c>
      <c r="R28" s="34">
        <v>23</v>
      </c>
    </row>
    <row r="29" spans="2:18" ht="20.100000000000001" customHeight="1">
      <c r="B29" s="6">
        <v>24</v>
      </c>
      <c r="C29" s="7" t="s">
        <v>45</v>
      </c>
      <c r="D29" s="8"/>
      <c r="E29" s="8"/>
      <c r="F29" s="9"/>
      <c r="G29" s="8">
        <v>1.4</v>
      </c>
      <c r="H29" s="8">
        <v>1.4</v>
      </c>
      <c r="I29" s="8">
        <v>1.4</v>
      </c>
      <c r="J29" s="8">
        <v>1.4</v>
      </c>
      <c r="K29" s="25">
        <v>4</v>
      </c>
      <c r="L29" s="7">
        <v>16</v>
      </c>
      <c r="M29" s="26">
        <f t="shared" si="0"/>
        <v>800</v>
      </c>
      <c r="N29" s="26">
        <v>400</v>
      </c>
      <c r="O29" s="29"/>
      <c r="P29" s="28">
        <f>K29*N29+M29</f>
        <v>2400</v>
      </c>
      <c r="Q29" s="28">
        <f t="shared" si="1"/>
        <v>2400</v>
      </c>
      <c r="R29" s="34">
        <v>24</v>
      </c>
    </row>
    <row r="30" spans="2:18" ht="20.100000000000001" customHeight="1">
      <c r="B30" s="6">
        <v>25</v>
      </c>
      <c r="C30" s="14" t="s">
        <v>46</v>
      </c>
      <c r="D30" s="8">
        <v>1.4</v>
      </c>
      <c r="E30" s="8">
        <v>1.4</v>
      </c>
      <c r="F30" s="9">
        <v>1</v>
      </c>
      <c r="G30" s="8">
        <v>1.4</v>
      </c>
      <c r="H30" s="8">
        <v>1.4</v>
      </c>
      <c r="I30" s="8">
        <v>1</v>
      </c>
      <c r="J30" s="8">
        <v>1.4</v>
      </c>
      <c r="K30" s="25">
        <v>7</v>
      </c>
      <c r="L30" s="7">
        <v>20</v>
      </c>
      <c r="M30" s="26">
        <f t="shared" si="0"/>
        <v>1000</v>
      </c>
      <c r="N30" s="26">
        <v>400</v>
      </c>
      <c r="O30" s="29"/>
      <c r="P30" s="28">
        <f>K30*N30+M30+50</f>
        <v>3850</v>
      </c>
      <c r="Q30" s="28">
        <f t="shared" si="1"/>
        <v>3850</v>
      </c>
      <c r="R30" s="34">
        <v>25</v>
      </c>
    </row>
    <row r="31" spans="2:18" ht="20.100000000000001" customHeight="1">
      <c r="B31" s="6">
        <v>26</v>
      </c>
      <c r="C31" s="7" t="s">
        <v>47</v>
      </c>
      <c r="D31" s="8">
        <v>1.4</v>
      </c>
      <c r="E31" s="8">
        <v>1.4</v>
      </c>
      <c r="F31" s="9"/>
      <c r="G31" s="8"/>
      <c r="H31" s="8">
        <v>1.4</v>
      </c>
      <c r="I31" s="8">
        <v>1.4</v>
      </c>
      <c r="J31" s="8">
        <v>1.4</v>
      </c>
      <c r="K31" s="25">
        <v>5</v>
      </c>
      <c r="L31" s="7">
        <v>20</v>
      </c>
      <c r="M31" s="26">
        <f t="shared" si="0"/>
        <v>1000</v>
      </c>
      <c r="N31" s="26">
        <v>400</v>
      </c>
      <c r="O31" s="29"/>
      <c r="P31" s="28">
        <f>K31*N31+M31</f>
        <v>3000</v>
      </c>
      <c r="Q31" s="28">
        <f t="shared" si="1"/>
        <v>3000</v>
      </c>
      <c r="R31" s="34">
        <v>26</v>
      </c>
    </row>
    <row r="32" spans="2:18" ht="20.100000000000001" customHeight="1">
      <c r="B32" s="6">
        <v>27</v>
      </c>
      <c r="C32" s="7" t="s">
        <v>50</v>
      </c>
      <c r="D32" s="16"/>
      <c r="E32" s="16">
        <v>0.4</v>
      </c>
      <c r="F32" s="17">
        <v>1</v>
      </c>
      <c r="G32" s="16">
        <v>0.6</v>
      </c>
      <c r="H32" s="16">
        <v>1.3</v>
      </c>
      <c r="I32" s="16">
        <v>1.1000000000000001</v>
      </c>
      <c r="J32" s="16">
        <v>1.1000000000000001</v>
      </c>
      <c r="K32" s="25">
        <v>4</v>
      </c>
      <c r="L32" s="7">
        <v>15</v>
      </c>
      <c r="M32" s="26">
        <f t="shared" si="0"/>
        <v>750</v>
      </c>
      <c r="N32" s="30">
        <v>400</v>
      </c>
      <c r="O32" s="31"/>
      <c r="P32" s="28">
        <f>K32*N32+M32+50</f>
        <v>2400</v>
      </c>
      <c r="Q32" s="28">
        <f t="shared" si="1"/>
        <v>2400</v>
      </c>
      <c r="R32" s="34">
        <v>27</v>
      </c>
    </row>
    <row r="33" spans="2:18" s="4" customFormat="1" ht="18.95" customHeight="1">
      <c r="B33" s="6">
        <v>28</v>
      </c>
      <c r="C33" s="18" t="s">
        <v>51</v>
      </c>
      <c r="D33" s="19">
        <v>1</v>
      </c>
      <c r="E33" s="20">
        <v>1</v>
      </c>
      <c r="F33" s="21"/>
      <c r="G33" s="20">
        <v>2</v>
      </c>
      <c r="H33" s="20">
        <v>1</v>
      </c>
      <c r="I33" s="20">
        <v>2</v>
      </c>
      <c r="J33" s="20">
        <v>2</v>
      </c>
      <c r="K33" s="25">
        <v>6</v>
      </c>
      <c r="L33" s="7">
        <v>24</v>
      </c>
      <c r="M33" s="26">
        <f t="shared" si="0"/>
        <v>1050</v>
      </c>
      <c r="N33" s="30">
        <v>350</v>
      </c>
      <c r="O33" s="32"/>
      <c r="P33" s="28">
        <f t="shared" ref="P33:P40" si="4">K33*N33+M33</f>
        <v>3150</v>
      </c>
      <c r="Q33" s="28">
        <f t="shared" si="1"/>
        <v>3150</v>
      </c>
      <c r="R33" s="34">
        <v>28</v>
      </c>
    </row>
    <row r="34" spans="2:18" s="4" customFormat="1" ht="18.95" customHeight="1">
      <c r="B34" s="6">
        <v>29</v>
      </c>
      <c r="C34" s="14" t="s">
        <v>52</v>
      </c>
      <c r="D34" s="22">
        <v>1</v>
      </c>
      <c r="E34" s="23">
        <v>1</v>
      </c>
      <c r="F34" s="24"/>
      <c r="G34" s="23"/>
      <c r="H34" s="23">
        <v>1</v>
      </c>
      <c r="I34" s="23">
        <v>1</v>
      </c>
      <c r="J34" s="23">
        <v>1</v>
      </c>
      <c r="K34" s="25">
        <f>SUM(D34:J34)</f>
        <v>5</v>
      </c>
      <c r="L34" s="7"/>
      <c r="M34" s="26">
        <f t="shared" si="0"/>
        <v>0</v>
      </c>
      <c r="N34" s="30">
        <v>400</v>
      </c>
      <c r="O34" s="32"/>
      <c r="P34" s="28">
        <f t="shared" si="4"/>
        <v>2000</v>
      </c>
      <c r="Q34" s="28">
        <f t="shared" si="1"/>
        <v>2000</v>
      </c>
      <c r="R34" s="34">
        <v>29</v>
      </c>
    </row>
    <row r="35" spans="2:18" s="4" customFormat="1" ht="18.95" customHeight="1">
      <c r="B35" s="6">
        <v>30</v>
      </c>
      <c r="C35" s="15" t="s">
        <v>53</v>
      </c>
      <c r="D35" s="22">
        <v>1.3</v>
      </c>
      <c r="E35" s="23">
        <v>1.3</v>
      </c>
      <c r="F35" s="24"/>
      <c r="G35" s="23">
        <v>1.3</v>
      </c>
      <c r="H35" s="23">
        <v>1.3</v>
      </c>
      <c r="I35" s="23">
        <v>1.3</v>
      </c>
      <c r="J35" s="23">
        <v>1.3</v>
      </c>
      <c r="K35" s="25">
        <v>6</v>
      </c>
      <c r="L35" s="7">
        <v>18</v>
      </c>
      <c r="M35" s="26">
        <f t="shared" si="0"/>
        <v>787.5</v>
      </c>
      <c r="N35" s="30">
        <v>350</v>
      </c>
      <c r="O35" s="32"/>
      <c r="P35" s="28">
        <f t="shared" si="4"/>
        <v>2887.5</v>
      </c>
      <c r="Q35" s="28">
        <f t="shared" si="1"/>
        <v>2887.5</v>
      </c>
      <c r="R35" s="34">
        <v>30</v>
      </c>
    </row>
    <row r="36" spans="2:18" s="4" customFormat="1" ht="18.95" customHeight="1">
      <c r="B36" s="6">
        <v>31</v>
      </c>
      <c r="C36" s="15" t="s">
        <v>55</v>
      </c>
      <c r="D36" s="22">
        <v>1</v>
      </c>
      <c r="E36" s="23"/>
      <c r="F36" s="24"/>
      <c r="G36" s="23"/>
      <c r="H36" s="23"/>
      <c r="I36" s="23">
        <v>1</v>
      </c>
      <c r="J36" s="23"/>
      <c r="K36" s="25">
        <f>SUM(D36:J36)</f>
        <v>2</v>
      </c>
      <c r="L36" s="7"/>
      <c r="M36" s="26">
        <f t="shared" si="0"/>
        <v>0</v>
      </c>
      <c r="N36" s="30">
        <v>400</v>
      </c>
      <c r="O36" s="32"/>
      <c r="P36" s="28">
        <f t="shared" si="4"/>
        <v>800</v>
      </c>
      <c r="Q36" s="28">
        <f t="shared" si="1"/>
        <v>800</v>
      </c>
      <c r="R36" s="34">
        <v>31</v>
      </c>
    </row>
    <row r="37" spans="2:18" s="4" customFormat="1" ht="18.95" customHeight="1">
      <c r="B37" s="6">
        <v>32</v>
      </c>
      <c r="C37" s="7" t="s">
        <v>97</v>
      </c>
      <c r="D37" s="22"/>
      <c r="E37" s="23"/>
      <c r="F37" s="24"/>
      <c r="G37" s="23"/>
      <c r="H37" s="23"/>
      <c r="I37" s="23"/>
      <c r="J37" s="23"/>
      <c r="K37" s="25">
        <f>SUM(D37:J37)</f>
        <v>0</v>
      </c>
      <c r="L37" s="7"/>
      <c r="M37" s="26">
        <f t="shared" si="0"/>
        <v>0</v>
      </c>
      <c r="N37" s="30">
        <v>400</v>
      </c>
      <c r="O37" s="32"/>
      <c r="P37" s="28">
        <f t="shared" si="4"/>
        <v>0</v>
      </c>
      <c r="Q37" s="28">
        <f t="shared" si="1"/>
        <v>0</v>
      </c>
      <c r="R37" s="34">
        <v>32</v>
      </c>
    </row>
    <row r="38" spans="2:18" s="4" customFormat="1" ht="18.95" customHeight="1">
      <c r="B38" s="6">
        <v>33</v>
      </c>
      <c r="C38" s="7" t="s">
        <v>59</v>
      </c>
      <c r="D38" s="22">
        <v>1</v>
      </c>
      <c r="E38" s="23">
        <v>1</v>
      </c>
      <c r="F38" s="24"/>
      <c r="G38" s="23">
        <v>1</v>
      </c>
      <c r="H38" s="23">
        <v>1</v>
      </c>
      <c r="I38" s="23">
        <v>1</v>
      </c>
      <c r="J38" s="23">
        <v>1</v>
      </c>
      <c r="K38" s="25">
        <f>SUM(D38:J38)</f>
        <v>6</v>
      </c>
      <c r="L38" s="7"/>
      <c r="M38" s="26">
        <f t="shared" si="0"/>
        <v>0</v>
      </c>
      <c r="N38" s="30">
        <v>400</v>
      </c>
      <c r="O38" s="32"/>
      <c r="P38" s="28">
        <f t="shared" si="4"/>
        <v>2400</v>
      </c>
      <c r="Q38" s="28">
        <f t="shared" si="1"/>
        <v>2400</v>
      </c>
      <c r="R38" s="34">
        <v>33</v>
      </c>
    </row>
    <row r="39" spans="2:18" s="4" customFormat="1" ht="18.95" customHeight="1">
      <c r="B39" s="6">
        <v>34</v>
      </c>
      <c r="C39" s="7" t="s">
        <v>60</v>
      </c>
      <c r="D39" s="22">
        <v>1.4</v>
      </c>
      <c r="E39" s="23">
        <v>1.4</v>
      </c>
      <c r="F39" s="24"/>
      <c r="G39" s="23">
        <v>0.4</v>
      </c>
      <c r="H39" s="23">
        <v>1.4</v>
      </c>
      <c r="I39" s="23">
        <v>1.4</v>
      </c>
      <c r="J39" s="23">
        <v>1.4</v>
      </c>
      <c r="K39" s="25">
        <v>5</v>
      </c>
      <c r="L39" s="7">
        <v>24</v>
      </c>
      <c r="M39" s="26">
        <f t="shared" si="0"/>
        <v>1200</v>
      </c>
      <c r="N39" s="30">
        <v>400</v>
      </c>
      <c r="O39" s="32"/>
      <c r="P39" s="28">
        <f t="shared" si="4"/>
        <v>3200</v>
      </c>
      <c r="Q39" s="28">
        <f t="shared" si="1"/>
        <v>3200</v>
      </c>
      <c r="R39" s="34">
        <v>34</v>
      </c>
    </row>
    <row r="40" spans="2:18" s="4" customFormat="1" ht="18.95" customHeight="1">
      <c r="B40" s="6">
        <v>35</v>
      </c>
      <c r="C40" s="7" t="s">
        <v>63</v>
      </c>
      <c r="D40" s="22">
        <v>1</v>
      </c>
      <c r="E40" s="23"/>
      <c r="F40" s="24"/>
      <c r="G40" s="23">
        <v>1.3</v>
      </c>
      <c r="H40" s="23">
        <v>1.3</v>
      </c>
      <c r="I40" s="23">
        <v>1.3</v>
      </c>
      <c r="J40" s="23">
        <v>1.3</v>
      </c>
      <c r="K40" s="25">
        <v>5</v>
      </c>
      <c r="L40" s="7"/>
      <c r="M40" s="26">
        <f t="shared" si="0"/>
        <v>0</v>
      </c>
      <c r="N40" s="30">
        <v>400</v>
      </c>
      <c r="O40" s="32"/>
      <c r="P40" s="28">
        <f t="shared" si="4"/>
        <v>2000</v>
      </c>
      <c r="Q40" s="28">
        <f t="shared" si="1"/>
        <v>2000</v>
      </c>
      <c r="R40" s="34">
        <v>35</v>
      </c>
    </row>
    <row r="41" spans="2:18" s="4" customFormat="1" ht="18.95" customHeight="1">
      <c r="B41" s="6">
        <v>36</v>
      </c>
      <c r="C41" s="15" t="s">
        <v>62</v>
      </c>
      <c r="D41" s="22"/>
      <c r="E41" s="23">
        <v>1.4</v>
      </c>
      <c r="F41" s="24"/>
      <c r="G41" s="23">
        <v>1.4</v>
      </c>
      <c r="H41" s="23">
        <v>1.4</v>
      </c>
      <c r="I41" s="23">
        <v>1.4</v>
      </c>
      <c r="J41" s="23">
        <v>1.4</v>
      </c>
      <c r="K41" s="25">
        <v>5</v>
      </c>
      <c r="L41" s="7">
        <v>20</v>
      </c>
      <c r="M41" s="26">
        <f t="shared" si="0"/>
        <v>1000</v>
      </c>
      <c r="N41" s="30">
        <v>400</v>
      </c>
      <c r="O41" s="32"/>
      <c r="P41" s="28">
        <f t="shared" ref="P41:P65" si="5">K41*N41+M41</f>
        <v>3000</v>
      </c>
      <c r="Q41" s="28">
        <f t="shared" ref="Q41:Q69" si="6">P41-O41</f>
        <v>3000</v>
      </c>
      <c r="R41" s="34">
        <v>36</v>
      </c>
    </row>
    <row r="42" spans="2:18" s="4" customFormat="1" ht="18.95" customHeight="1">
      <c r="B42" s="6">
        <v>37</v>
      </c>
      <c r="C42" s="14" t="s">
        <v>64</v>
      </c>
      <c r="D42" s="22">
        <v>1.3</v>
      </c>
      <c r="E42" s="23">
        <v>1.3</v>
      </c>
      <c r="F42" s="24">
        <v>2.7</v>
      </c>
      <c r="G42" s="23">
        <v>1.3</v>
      </c>
      <c r="H42" s="23">
        <v>1.3</v>
      </c>
      <c r="I42" s="23">
        <v>1.3</v>
      </c>
      <c r="J42" s="23">
        <v>1.3</v>
      </c>
      <c r="K42" s="25">
        <v>7</v>
      </c>
      <c r="L42" s="7">
        <v>33</v>
      </c>
      <c r="M42" s="26">
        <f t="shared" si="0"/>
        <v>2062.5</v>
      </c>
      <c r="N42" s="30">
        <v>500</v>
      </c>
      <c r="O42" s="32"/>
      <c r="P42" s="28">
        <f>K42*N42+M42+150</f>
        <v>5712.5</v>
      </c>
      <c r="Q42" s="28">
        <f t="shared" si="6"/>
        <v>5712.5</v>
      </c>
      <c r="R42" s="34">
        <v>37</v>
      </c>
    </row>
    <row r="43" spans="2:18" s="4" customFormat="1" ht="18.95" customHeight="1">
      <c r="B43" s="6">
        <v>38</v>
      </c>
      <c r="C43" s="7" t="s">
        <v>58</v>
      </c>
      <c r="D43" s="22">
        <v>1</v>
      </c>
      <c r="E43" s="23">
        <v>1</v>
      </c>
      <c r="F43" s="24">
        <v>1.4</v>
      </c>
      <c r="G43" s="23">
        <v>1</v>
      </c>
      <c r="H43" s="23">
        <v>1</v>
      </c>
      <c r="I43" s="23">
        <v>1</v>
      </c>
      <c r="J43" s="23">
        <v>1</v>
      </c>
      <c r="K43" s="25">
        <v>7</v>
      </c>
      <c r="L43" s="7">
        <v>4</v>
      </c>
      <c r="M43" s="26">
        <f t="shared" si="0"/>
        <v>200</v>
      </c>
      <c r="N43" s="30">
        <v>400</v>
      </c>
      <c r="O43" s="32"/>
      <c r="P43" s="28">
        <f>K43*N43+M43+50</f>
        <v>3050</v>
      </c>
      <c r="Q43" s="28">
        <f t="shared" si="6"/>
        <v>3050</v>
      </c>
      <c r="R43" s="34">
        <v>38</v>
      </c>
    </row>
    <row r="44" spans="2:18" s="4" customFormat="1" ht="18.95" customHeight="1">
      <c r="B44" s="6">
        <v>39</v>
      </c>
      <c r="C44" s="7" t="s">
        <v>98</v>
      </c>
      <c r="D44" s="22">
        <v>1.4</v>
      </c>
      <c r="E44" s="23">
        <v>1.4</v>
      </c>
      <c r="F44" s="24"/>
      <c r="G44" s="23"/>
      <c r="H44" s="23"/>
      <c r="I44" s="23"/>
      <c r="J44" s="23"/>
      <c r="K44" s="25">
        <v>2</v>
      </c>
      <c r="L44" s="7">
        <v>8</v>
      </c>
      <c r="M44" s="26">
        <f t="shared" si="0"/>
        <v>400</v>
      </c>
      <c r="N44" s="30">
        <v>400</v>
      </c>
      <c r="O44" s="32"/>
      <c r="P44" s="28">
        <f t="shared" si="5"/>
        <v>1200</v>
      </c>
      <c r="Q44" s="28">
        <f t="shared" si="6"/>
        <v>1200</v>
      </c>
      <c r="R44" s="34">
        <v>39</v>
      </c>
    </row>
    <row r="45" spans="2:18" s="4" customFormat="1" ht="18.95" customHeight="1">
      <c r="B45" s="6">
        <v>40</v>
      </c>
      <c r="C45" s="7" t="s">
        <v>67</v>
      </c>
      <c r="D45" s="22"/>
      <c r="E45" s="23">
        <v>1</v>
      </c>
      <c r="F45" s="24"/>
      <c r="G45" s="23">
        <v>1</v>
      </c>
      <c r="H45" s="23">
        <v>1</v>
      </c>
      <c r="I45" s="23"/>
      <c r="J45" s="23"/>
      <c r="K45" s="25">
        <f>SUM(D45:J45)</f>
        <v>3</v>
      </c>
      <c r="L45" s="7"/>
      <c r="M45" s="26">
        <f t="shared" si="0"/>
        <v>0</v>
      </c>
      <c r="N45" s="30">
        <v>500</v>
      </c>
      <c r="O45" s="32"/>
      <c r="P45" s="28">
        <f t="shared" si="5"/>
        <v>1500</v>
      </c>
      <c r="Q45" s="28">
        <f t="shared" si="6"/>
        <v>1500</v>
      </c>
      <c r="R45" s="34">
        <v>40</v>
      </c>
    </row>
    <row r="46" spans="2:18" s="4" customFormat="1" ht="18.95" customHeight="1">
      <c r="B46" s="6">
        <v>41</v>
      </c>
      <c r="C46" s="7" t="s">
        <v>65</v>
      </c>
      <c r="D46" s="22">
        <v>2.4</v>
      </c>
      <c r="E46" s="23">
        <v>1.4</v>
      </c>
      <c r="F46" s="24"/>
      <c r="G46" s="23">
        <v>1.4</v>
      </c>
      <c r="H46" s="23">
        <v>1.4</v>
      </c>
      <c r="I46" s="23">
        <v>1.4</v>
      </c>
      <c r="J46" s="23">
        <v>1.4</v>
      </c>
      <c r="K46" s="25">
        <v>6</v>
      </c>
      <c r="L46" s="7">
        <v>32</v>
      </c>
      <c r="M46" s="26">
        <f t="shared" si="0"/>
        <v>1600</v>
      </c>
      <c r="N46" s="30">
        <v>400</v>
      </c>
      <c r="O46" s="32"/>
      <c r="P46" s="28">
        <f t="shared" si="5"/>
        <v>4000</v>
      </c>
      <c r="Q46" s="28">
        <f t="shared" si="6"/>
        <v>4000</v>
      </c>
      <c r="R46" s="34">
        <v>41</v>
      </c>
    </row>
    <row r="47" spans="2:18" s="4" customFormat="1" ht="18.95" customHeight="1">
      <c r="B47" s="6">
        <v>42</v>
      </c>
      <c r="C47" s="14" t="s">
        <v>68</v>
      </c>
      <c r="D47" s="22">
        <v>1</v>
      </c>
      <c r="E47" s="23">
        <v>1</v>
      </c>
      <c r="F47" s="24">
        <v>1</v>
      </c>
      <c r="G47" s="23">
        <v>1</v>
      </c>
      <c r="H47" s="23">
        <v>1</v>
      </c>
      <c r="I47" s="23">
        <v>1</v>
      </c>
      <c r="J47" s="23">
        <v>1</v>
      </c>
      <c r="K47" s="25">
        <f>SUM(D47:J47)</f>
        <v>7</v>
      </c>
      <c r="L47" s="7"/>
      <c r="M47" s="26">
        <f t="shared" si="0"/>
        <v>0</v>
      </c>
      <c r="N47" s="30">
        <v>400</v>
      </c>
      <c r="O47" s="32"/>
      <c r="P47" s="28">
        <f>K47*N47+M47+50</f>
        <v>2850</v>
      </c>
      <c r="Q47" s="28">
        <f t="shared" si="6"/>
        <v>2850</v>
      </c>
      <c r="R47" s="34">
        <v>42</v>
      </c>
    </row>
    <row r="48" spans="2:18" s="4" customFormat="1" ht="18.95" customHeight="1">
      <c r="B48" s="6">
        <v>43</v>
      </c>
      <c r="C48" s="14" t="s">
        <v>70</v>
      </c>
      <c r="D48" s="22">
        <v>0.4</v>
      </c>
      <c r="E48" s="23">
        <v>1.4</v>
      </c>
      <c r="F48" s="24">
        <v>1</v>
      </c>
      <c r="G48" s="23">
        <v>1.4</v>
      </c>
      <c r="H48" s="23">
        <v>1.4</v>
      </c>
      <c r="I48" s="23">
        <v>1.4</v>
      </c>
      <c r="J48" s="23">
        <v>1.4</v>
      </c>
      <c r="K48" s="25">
        <v>6</v>
      </c>
      <c r="L48" s="7">
        <v>24</v>
      </c>
      <c r="M48" s="26">
        <f t="shared" si="0"/>
        <v>1200</v>
      </c>
      <c r="N48" s="30">
        <v>400</v>
      </c>
      <c r="O48" s="32"/>
      <c r="P48" s="28">
        <f>K48*N48+M48+50</f>
        <v>3650</v>
      </c>
      <c r="Q48" s="28">
        <f t="shared" si="6"/>
        <v>3650</v>
      </c>
      <c r="R48" s="34">
        <v>43</v>
      </c>
    </row>
    <row r="49" spans="2:18" s="4" customFormat="1" ht="18.95" customHeight="1">
      <c r="B49" s="6">
        <v>44</v>
      </c>
      <c r="C49" s="14" t="s">
        <v>99</v>
      </c>
      <c r="D49" s="22"/>
      <c r="E49" s="23"/>
      <c r="F49" s="24"/>
      <c r="G49" s="23"/>
      <c r="H49" s="23"/>
      <c r="I49" s="23"/>
      <c r="J49" s="23"/>
      <c r="K49" s="25">
        <f>SUM(D49:J49)</f>
        <v>0</v>
      </c>
      <c r="L49" s="7"/>
      <c r="M49" s="26">
        <f t="shared" si="0"/>
        <v>0</v>
      </c>
      <c r="N49" s="30">
        <v>400</v>
      </c>
      <c r="O49" s="32"/>
      <c r="P49" s="28">
        <f t="shared" si="5"/>
        <v>0</v>
      </c>
      <c r="Q49" s="28">
        <f t="shared" si="6"/>
        <v>0</v>
      </c>
      <c r="R49" s="34">
        <v>44</v>
      </c>
    </row>
    <row r="50" spans="2:18" s="4" customFormat="1" ht="18.95" customHeight="1">
      <c r="B50" s="6">
        <v>45</v>
      </c>
      <c r="C50" s="14" t="s">
        <v>72</v>
      </c>
      <c r="D50" s="22"/>
      <c r="E50" s="23">
        <v>1</v>
      </c>
      <c r="F50" s="24"/>
      <c r="G50" s="23">
        <v>1</v>
      </c>
      <c r="H50" s="23">
        <v>1</v>
      </c>
      <c r="I50" s="23">
        <v>1</v>
      </c>
      <c r="J50" s="23">
        <v>1</v>
      </c>
      <c r="K50" s="25">
        <f>SUM(D50:J50)</f>
        <v>5</v>
      </c>
      <c r="L50" s="7"/>
      <c r="M50" s="26">
        <f t="shared" si="0"/>
        <v>0</v>
      </c>
      <c r="N50" s="30">
        <v>400</v>
      </c>
      <c r="O50" s="32"/>
      <c r="P50" s="28">
        <f t="shared" si="5"/>
        <v>2000</v>
      </c>
      <c r="Q50" s="28">
        <f t="shared" si="6"/>
        <v>2000</v>
      </c>
      <c r="R50" s="34">
        <v>45</v>
      </c>
    </row>
    <row r="51" spans="2:18" s="4" customFormat="1" ht="18.95" customHeight="1">
      <c r="B51" s="6">
        <v>46</v>
      </c>
      <c r="C51" s="14" t="s">
        <v>74</v>
      </c>
      <c r="D51" s="22"/>
      <c r="E51" s="23"/>
      <c r="F51" s="24">
        <v>1</v>
      </c>
      <c r="G51" s="23">
        <v>1</v>
      </c>
      <c r="H51" s="23"/>
      <c r="I51" s="23"/>
      <c r="J51" s="23"/>
      <c r="K51" s="25">
        <f>SUM(D51:J51)</f>
        <v>2</v>
      </c>
      <c r="L51" s="7"/>
      <c r="M51" s="26">
        <f t="shared" si="0"/>
        <v>0</v>
      </c>
      <c r="N51" s="30">
        <v>400</v>
      </c>
      <c r="O51" s="32"/>
      <c r="P51" s="28">
        <f t="shared" si="5"/>
        <v>800</v>
      </c>
      <c r="Q51" s="28">
        <f t="shared" si="6"/>
        <v>800</v>
      </c>
      <c r="R51" s="34">
        <v>46</v>
      </c>
    </row>
    <row r="52" spans="2:18" s="4" customFormat="1" ht="18.95" customHeight="1">
      <c r="B52" s="6">
        <v>47</v>
      </c>
      <c r="C52" s="14" t="s">
        <v>75</v>
      </c>
      <c r="D52" s="22">
        <v>1.4</v>
      </c>
      <c r="E52" s="23">
        <v>1.4</v>
      </c>
      <c r="F52" s="24">
        <v>1.4</v>
      </c>
      <c r="G52" s="23"/>
      <c r="H52" s="23">
        <v>1.4</v>
      </c>
      <c r="I52" s="23">
        <v>1.4</v>
      </c>
      <c r="J52" s="23">
        <v>1.4</v>
      </c>
      <c r="K52" s="25">
        <v>6</v>
      </c>
      <c r="L52" s="7">
        <v>24</v>
      </c>
      <c r="M52" s="26">
        <f t="shared" si="0"/>
        <v>1200</v>
      </c>
      <c r="N52" s="30">
        <v>400</v>
      </c>
      <c r="O52" s="32"/>
      <c r="P52" s="28">
        <f>K52*N52+M52+50</f>
        <v>3650</v>
      </c>
      <c r="Q52" s="28">
        <f t="shared" si="6"/>
        <v>3650</v>
      </c>
      <c r="R52" s="34">
        <v>47</v>
      </c>
    </row>
    <row r="53" spans="2:18" s="4" customFormat="1" ht="18.95" customHeight="1">
      <c r="B53" s="6">
        <v>48</v>
      </c>
      <c r="C53" s="14" t="s">
        <v>76</v>
      </c>
      <c r="D53" s="22">
        <v>2</v>
      </c>
      <c r="E53" s="23">
        <v>1</v>
      </c>
      <c r="F53" s="24">
        <v>2</v>
      </c>
      <c r="G53" s="23">
        <v>1</v>
      </c>
      <c r="H53" s="23">
        <v>2</v>
      </c>
      <c r="I53" s="23">
        <v>1</v>
      </c>
      <c r="J53" s="23">
        <v>1</v>
      </c>
      <c r="K53" s="25">
        <f>SUM(D53:J53)</f>
        <v>10</v>
      </c>
      <c r="L53" s="7"/>
      <c r="M53" s="26">
        <f t="shared" si="0"/>
        <v>0</v>
      </c>
      <c r="N53" s="30">
        <v>400</v>
      </c>
      <c r="O53" s="32"/>
      <c r="P53" s="28">
        <f>K53*N53+M53+100</f>
        <v>4100</v>
      </c>
      <c r="Q53" s="28">
        <f t="shared" si="6"/>
        <v>4100</v>
      </c>
      <c r="R53" s="34">
        <v>48</v>
      </c>
    </row>
    <row r="54" spans="2:18" s="4" customFormat="1" ht="18.95" customHeight="1">
      <c r="B54" s="6">
        <v>49</v>
      </c>
      <c r="C54" s="14" t="s">
        <v>24</v>
      </c>
      <c r="D54" s="22"/>
      <c r="E54" s="23">
        <v>1.4</v>
      </c>
      <c r="F54" s="24"/>
      <c r="G54" s="23"/>
      <c r="H54" s="23">
        <v>1.4</v>
      </c>
      <c r="I54" s="23"/>
      <c r="J54" s="23">
        <v>0.4</v>
      </c>
      <c r="K54" s="25">
        <v>2</v>
      </c>
      <c r="L54" s="33">
        <v>12</v>
      </c>
      <c r="M54" s="26">
        <f t="shared" si="0"/>
        <v>600</v>
      </c>
      <c r="N54" s="30">
        <v>400</v>
      </c>
      <c r="O54" s="32"/>
      <c r="P54" s="28">
        <f t="shared" si="5"/>
        <v>1400</v>
      </c>
      <c r="Q54" s="28">
        <f t="shared" si="6"/>
        <v>1400</v>
      </c>
      <c r="R54" s="34">
        <v>49</v>
      </c>
    </row>
    <row r="55" spans="2:18" s="4" customFormat="1" ht="18.95" customHeight="1">
      <c r="B55" s="6">
        <v>50</v>
      </c>
      <c r="C55" s="14" t="s">
        <v>25</v>
      </c>
      <c r="D55" s="22"/>
      <c r="E55" s="23">
        <v>1</v>
      </c>
      <c r="F55" s="24">
        <v>1</v>
      </c>
      <c r="G55" s="23">
        <v>1.1000000000000001</v>
      </c>
      <c r="H55" s="23">
        <v>2</v>
      </c>
      <c r="I55" s="23">
        <v>1</v>
      </c>
      <c r="J55" s="23">
        <v>2</v>
      </c>
      <c r="K55" s="25">
        <v>6</v>
      </c>
      <c r="L55" s="33">
        <v>17</v>
      </c>
      <c r="M55" s="26">
        <f t="shared" si="0"/>
        <v>850</v>
      </c>
      <c r="N55" s="30">
        <v>400</v>
      </c>
      <c r="O55" s="32"/>
      <c r="P55" s="28">
        <f>K55*N55+M55+50</f>
        <v>3300</v>
      </c>
      <c r="Q55" s="28">
        <f t="shared" si="6"/>
        <v>3300</v>
      </c>
      <c r="R55" s="34">
        <v>50</v>
      </c>
    </row>
    <row r="56" spans="2:18" s="4" customFormat="1" ht="18.95" customHeight="1">
      <c r="B56" s="6">
        <v>51</v>
      </c>
      <c r="C56" s="14" t="s">
        <v>29</v>
      </c>
      <c r="D56" s="22"/>
      <c r="E56" s="23">
        <v>1.3</v>
      </c>
      <c r="F56" s="24">
        <v>1</v>
      </c>
      <c r="G56" s="23">
        <v>0.4</v>
      </c>
      <c r="H56" s="23">
        <v>1.3</v>
      </c>
      <c r="I56" s="23">
        <v>1.2</v>
      </c>
      <c r="J56" s="23">
        <v>1.3</v>
      </c>
      <c r="K56" s="25">
        <v>5</v>
      </c>
      <c r="L56" s="33">
        <v>15</v>
      </c>
      <c r="M56" s="26">
        <f t="shared" si="0"/>
        <v>750</v>
      </c>
      <c r="N56" s="30">
        <v>400</v>
      </c>
      <c r="O56" s="32"/>
      <c r="P56" s="28">
        <f>K56*N56+M56+50</f>
        <v>2800</v>
      </c>
      <c r="Q56" s="28">
        <f t="shared" si="6"/>
        <v>2800</v>
      </c>
      <c r="R56" s="34">
        <v>51</v>
      </c>
    </row>
    <row r="57" spans="2:18" s="4" customFormat="1" ht="18.95" customHeight="1">
      <c r="B57" s="6">
        <v>52</v>
      </c>
      <c r="C57" s="14" t="s">
        <v>100</v>
      </c>
      <c r="D57" s="22">
        <v>1.4</v>
      </c>
      <c r="E57" s="23">
        <v>1.4</v>
      </c>
      <c r="F57" s="24">
        <v>1.4</v>
      </c>
      <c r="G57" s="23">
        <v>0.4</v>
      </c>
      <c r="H57" s="23">
        <v>1.4</v>
      </c>
      <c r="I57" s="23">
        <v>1.3</v>
      </c>
      <c r="J57" s="23">
        <v>1.3</v>
      </c>
      <c r="K57" s="25">
        <v>6</v>
      </c>
      <c r="L57" s="33">
        <v>26</v>
      </c>
      <c r="M57" s="26">
        <f t="shared" si="0"/>
        <v>1300</v>
      </c>
      <c r="N57" s="30">
        <v>400</v>
      </c>
      <c r="O57" s="32"/>
      <c r="P57" s="28">
        <f>K57*N57+M57+50</f>
        <v>3750</v>
      </c>
      <c r="Q57" s="28">
        <f t="shared" si="6"/>
        <v>3750</v>
      </c>
      <c r="R57" s="34">
        <v>52</v>
      </c>
    </row>
    <row r="58" spans="2:18" s="4" customFormat="1" ht="18.95" customHeight="1">
      <c r="B58" s="6">
        <v>53</v>
      </c>
      <c r="C58" s="14" t="s">
        <v>48</v>
      </c>
      <c r="D58" s="22"/>
      <c r="E58" s="23">
        <v>1.4</v>
      </c>
      <c r="F58" s="24">
        <v>0.4</v>
      </c>
      <c r="G58" s="23"/>
      <c r="H58" s="23">
        <v>1.4</v>
      </c>
      <c r="I58" s="23">
        <v>1.4</v>
      </c>
      <c r="J58" s="23">
        <v>1.4</v>
      </c>
      <c r="K58" s="25">
        <v>4</v>
      </c>
      <c r="L58" s="33">
        <v>20</v>
      </c>
      <c r="M58" s="26">
        <f t="shared" si="0"/>
        <v>1000</v>
      </c>
      <c r="N58" s="30">
        <v>400</v>
      </c>
      <c r="O58" s="32"/>
      <c r="P58" s="28">
        <f t="shared" si="5"/>
        <v>2600</v>
      </c>
      <c r="Q58" s="28">
        <f t="shared" si="6"/>
        <v>2600</v>
      </c>
      <c r="R58" s="34">
        <v>53</v>
      </c>
    </row>
    <row r="59" spans="2:18" s="4" customFormat="1" ht="18.95" customHeight="1">
      <c r="B59" s="6">
        <v>54</v>
      </c>
      <c r="C59" s="14" t="s">
        <v>104</v>
      </c>
      <c r="D59" s="22">
        <v>1</v>
      </c>
      <c r="E59" s="23">
        <v>1.3</v>
      </c>
      <c r="F59" s="24"/>
      <c r="G59" s="23"/>
      <c r="H59" s="23">
        <v>1.3</v>
      </c>
      <c r="I59" s="23"/>
      <c r="J59" s="23">
        <v>1.3</v>
      </c>
      <c r="K59" s="25">
        <v>4</v>
      </c>
      <c r="L59" s="33">
        <v>9</v>
      </c>
      <c r="M59" s="26">
        <f t="shared" si="0"/>
        <v>450</v>
      </c>
      <c r="N59" s="30">
        <v>400</v>
      </c>
      <c r="O59" s="32"/>
      <c r="P59" s="28">
        <f t="shared" si="5"/>
        <v>2050</v>
      </c>
      <c r="Q59" s="28">
        <f t="shared" si="6"/>
        <v>2050</v>
      </c>
      <c r="R59" s="34">
        <v>54</v>
      </c>
    </row>
    <row r="60" spans="2:18" s="4" customFormat="1" ht="18.95" customHeight="1">
      <c r="B60" s="6">
        <v>55</v>
      </c>
      <c r="C60" s="14" t="s">
        <v>66</v>
      </c>
      <c r="D60" s="22"/>
      <c r="E60" s="23"/>
      <c r="F60" s="24"/>
      <c r="G60" s="23"/>
      <c r="H60" s="23"/>
      <c r="I60" s="23"/>
      <c r="J60" s="23"/>
      <c r="K60" s="25">
        <f>SUM(D60:J60)</f>
        <v>0</v>
      </c>
      <c r="L60" s="33"/>
      <c r="M60" s="26">
        <f t="shared" si="0"/>
        <v>0</v>
      </c>
      <c r="N60" s="30">
        <v>400</v>
      </c>
      <c r="O60" s="32"/>
      <c r="P60" s="28">
        <f t="shared" si="5"/>
        <v>0</v>
      </c>
      <c r="Q60" s="28">
        <f t="shared" si="6"/>
        <v>0</v>
      </c>
      <c r="R60" s="34">
        <v>55</v>
      </c>
    </row>
    <row r="61" spans="2:18" s="4" customFormat="1" ht="18.95" customHeight="1">
      <c r="B61" s="6">
        <v>56</v>
      </c>
      <c r="C61" s="14" t="s">
        <v>61</v>
      </c>
      <c r="D61" s="22">
        <v>1</v>
      </c>
      <c r="E61" s="23">
        <v>1</v>
      </c>
      <c r="F61" s="24"/>
      <c r="G61" s="23">
        <v>1.3</v>
      </c>
      <c r="H61" s="23">
        <v>1.3</v>
      </c>
      <c r="I61" s="23">
        <v>1.3</v>
      </c>
      <c r="J61" s="23">
        <v>1.3</v>
      </c>
      <c r="K61" s="25">
        <v>6</v>
      </c>
      <c r="L61" s="33">
        <v>12</v>
      </c>
      <c r="M61" s="26">
        <f t="shared" si="0"/>
        <v>600</v>
      </c>
      <c r="N61" s="30">
        <v>400</v>
      </c>
      <c r="O61" s="32"/>
      <c r="P61" s="28">
        <f t="shared" si="5"/>
        <v>3000</v>
      </c>
      <c r="Q61" s="28">
        <f t="shared" si="6"/>
        <v>3000</v>
      </c>
      <c r="R61" s="34">
        <v>56</v>
      </c>
    </row>
    <row r="62" spans="2:18" s="4" customFormat="1" ht="18.95" customHeight="1">
      <c r="B62" s="6">
        <v>57</v>
      </c>
      <c r="C62" s="14" t="s">
        <v>71</v>
      </c>
      <c r="D62" s="22">
        <v>1.4</v>
      </c>
      <c r="E62" s="23">
        <v>1.4</v>
      </c>
      <c r="F62" s="24"/>
      <c r="G62" s="23"/>
      <c r="H62" s="23"/>
      <c r="I62" s="23">
        <v>0.4</v>
      </c>
      <c r="J62" s="23">
        <v>1.4</v>
      </c>
      <c r="K62" s="25">
        <v>3</v>
      </c>
      <c r="L62" s="33">
        <v>16</v>
      </c>
      <c r="M62" s="26">
        <f t="shared" si="0"/>
        <v>800</v>
      </c>
      <c r="N62" s="30">
        <v>400</v>
      </c>
      <c r="O62" s="32"/>
      <c r="P62" s="28">
        <f t="shared" si="5"/>
        <v>2000</v>
      </c>
      <c r="Q62" s="28">
        <f t="shared" si="6"/>
        <v>2000</v>
      </c>
      <c r="R62" s="34">
        <v>57</v>
      </c>
    </row>
    <row r="63" spans="2:18" s="4" customFormat="1" ht="18.95" customHeight="1">
      <c r="B63" s="6">
        <v>58</v>
      </c>
      <c r="C63" s="14" t="s">
        <v>73</v>
      </c>
      <c r="D63" s="22">
        <v>1</v>
      </c>
      <c r="E63" s="23">
        <v>1</v>
      </c>
      <c r="F63" s="24">
        <v>1</v>
      </c>
      <c r="G63" s="23">
        <v>1</v>
      </c>
      <c r="H63" s="23">
        <v>1</v>
      </c>
      <c r="I63" s="23">
        <v>1</v>
      </c>
      <c r="J63" s="23">
        <v>1</v>
      </c>
      <c r="K63" s="25">
        <f>SUM(D63:J63)</f>
        <v>7</v>
      </c>
      <c r="L63" s="33"/>
      <c r="M63" s="26">
        <f t="shared" si="0"/>
        <v>0</v>
      </c>
      <c r="N63" s="30">
        <v>400</v>
      </c>
      <c r="O63" s="32"/>
      <c r="P63" s="28">
        <f>K63*N63+M63+50</f>
        <v>2850</v>
      </c>
      <c r="Q63" s="28">
        <f t="shared" si="6"/>
        <v>2850</v>
      </c>
      <c r="R63" s="34">
        <v>58</v>
      </c>
    </row>
    <row r="64" spans="2:18" s="4" customFormat="1" ht="18.95" customHeight="1">
      <c r="B64" s="6">
        <v>59</v>
      </c>
      <c r="C64" s="14" t="s">
        <v>92</v>
      </c>
      <c r="D64" s="22">
        <v>1</v>
      </c>
      <c r="E64" s="23">
        <v>1</v>
      </c>
      <c r="F64" s="24">
        <v>1</v>
      </c>
      <c r="G64" s="23">
        <v>1</v>
      </c>
      <c r="H64" s="23">
        <v>1</v>
      </c>
      <c r="I64" s="23">
        <v>1</v>
      </c>
      <c r="J64" s="23">
        <v>1</v>
      </c>
      <c r="K64" s="25">
        <f>SUM(D64:J64)</f>
        <v>7</v>
      </c>
      <c r="L64" s="33"/>
      <c r="M64" s="26">
        <f t="shared" si="0"/>
        <v>0</v>
      </c>
      <c r="N64" s="30">
        <v>400</v>
      </c>
      <c r="O64" s="32"/>
      <c r="P64" s="28">
        <f>K64*N64+M64+50</f>
        <v>2850</v>
      </c>
      <c r="Q64" s="28">
        <f t="shared" si="6"/>
        <v>2850</v>
      </c>
      <c r="R64" s="34">
        <v>59</v>
      </c>
    </row>
    <row r="65" spans="2:18" s="4" customFormat="1" ht="18.95" customHeight="1">
      <c r="B65" s="6">
        <v>60</v>
      </c>
      <c r="C65" s="14" t="s">
        <v>21</v>
      </c>
      <c r="D65" s="22">
        <v>1.3</v>
      </c>
      <c r="E65" s="23">
        <v>1.3</v>
      </c>
      <c r="F65" s="24"/>
      <c r="G65" s="23">
        <v>1.3</v>
      </c>
      <c r="H65" s="23">
        <v>1.3</v>
      </c>
      <c r="I65" s="23">
        <v>1.1000000000000001</v>
      </c>
      <c r="J65" s="23">
        <v>1.3</v>
      </c>
      <c r="K65" s="25">
        <v>6</v>
      </c>
      <c r="L65" s="33">
        <v>16</v>
      </c>
      <c r="M65" s="26">
        <f t="shared" si="0"/>
        <v>800</v>
      </c>
      <c r="N65" s="30">
        <v>400</v>
      </c>
      <c r="O65" s="32"/>
      <c r="P65" s="28">
        <f t="shared" si="5"/>
        <v>3200</v>
      </c>
      <c r="Q65" s="28">
        <f t="shared" si="6"/>
        <v>3200</v>
      </c>
      <c r="R65" s="34">
        <v>60</v>
      </c>
    </row>
    <row r="66" spans="2:18" s="4" customFormat="1" ht="18.95" customHeight="1">
      <c r="B66" s="6">
        <v>61</v>
      </c>
      <c r="C66" s="14" t="s">
        <v>56</v>
      </c>
      <c r="D66" s="22">
        <v>1.3</v>
      </c>
      <c r="E66" s="23">
        <v>1.3</v>
      </c>
      <c r="F66" s="9">
        <v>1.3</v>
      </c>
      <c r="G66" s="23">
        <v>1.3</v>
      </c>
      <c r="H66" s="23">
        <v>3</v>
      </c>
      <c r="I66" s="23">
        <v>0.3</v>
      </c>
      <c r="J66" s="23">
        <v>1.3</v>
      </c>
      <c r="K66" s="25">
        <v>6</v>
      </c>
      <c r="L66" s="33">
        <v>34</v>
      </c>
      <c r="M66" s="26">
        <f t="shared" si="0"/>
        <v>1700</v>
      </c>
      <c r="N66" s="30">
        <v>400</v>
      </c>
      <c r="O66" s="32"/>
      <c r="P66" s="28">
        <f>K66*N66+M66+50</f>
        <v>4150</v>
      </c>
      <c r="Q66" s="28">
        <f t="shared" si="6"/>
        <v>4150</v>
      </c>
      <c r="R66" s="34">
        <v>61</v>
      </c>
    </row>
    <row r="67" spans="2:18" s="4" customFormat="1" ht="18.95" customHeight="1">
      <c r="B67" s="6">
        <v>62</v>
      </c>
      <c r="C67" s="14" t="s">
        <v>36</v>
      </c>
      <c r="D67" s="26"/>
      <c r="E67" s="26">
        <v>0.4</v>
      </c>
      <c r="F67" s="35">
        <v>1.4</v>
      </c>
      <c r="G67" s="26">
        <v>1.2</v>
      </c>
      <c r="H67" s="26">
        <v>0.6</v>
      </c>
      <c r="I67" s="26">
        <v>0.6</v>
      </c>
      <c r="J67" s="26">
        <v>1.4</v>
      </c>
      <c r="K67" s="41">
        <v>3</v>
      </c>
      <c r="L67" s="26">
        <v>26</v>
      </c>
      <c r="M67" s="26">
        <f t="shared" si="0"/>
        <v>1300</v>
      </c>
      <c r="N67" s="30">
        <v>400</v>
      </c>
      <c r="O67" s="32"/>
      <c r="P67" s="28">
        <f>K67*N67+M67+50</f>
        <v>2550</v>
      </c>
      <c r="Q67" s="28">
        <f t="shared" si="6"/>
        <v>2550</v>
      </c>
      <c r="R67" s="34">
        <v>62</v>
      </c>
    </row>
    <row r="68" spans="2:18" s="4" customFormat="1" ht="18.95" customHeight="1">
      <c r="B68" s="6">
        <v>63</v>
      </c>
      <c r="C68" s="14" t="s">
        <v>42</v>
      </c>
      <c r="D68" s="26"/>
      <c r="E68" s="26"/>
      <c r="F68" s="35">
        <v>1.3</v>
      </c>
      <c r="G68" s="26">
        <v>1.4</v>
      </c>
      <c r="H68" s="26">
        <v>3</v>
      </c>
      <c r="I68" s="26">
        <v>3</v>
      </c>
      <c r="J68" s="26">
        <v>1</v>
      </c>
      <c r="K68" s="41">
        <v>5</v>
      </c>
      <c r="L68" s="26">
        <v>39</v>
      </c>
      <c r="M68" s="26">
        <f t="shared" si="0"/>
        <v>1950</v>
      </c>
      <c r="N68" s="30">
        <v>400</v>
      </c>
      <c r="O68" s="32"/>
      <c r="P68" s="28">
        <f>K68*N68+M68+50</f>
        <v>4000</v>
      </c>
      <c r="Q68" s="28">
        <f t="shared" si="6"/>
        <v>4000</v>
      </c>
      <c r="R68" s="34">
        <v>63</v>
      </c>
    </row>
    <row r="69" spans="2:18" s="4" customFormat="1" ht="18.95" customHeight="1">
      <c r="B69" s="6">
        <v>64</v>
      </c>
      <c r="C69" s="14" t="s">
        <v>43</v>
      </c>
      <c r="D69" s="26"/>
      <c r="E69" s="26"/>
      <c r="F69" s="35"/>
      <c r="G69" s="26">
        <v>1.4</v>
      </c>
      <c r="H69" s="26">
        <v>1.4</v>
      </c>
      <c r="I69" s="26">
        <v>1.4</v>
      </c>
      <c r="J69" s="26">
        <v>1.4</v>
      </c>
      <c r="K69" s="41">
        <v>4</v>
      </c>
      <c r="L69" s="26">
        <v>16</v>
      </c>
      <c r="M69" s="26">
        <f t="shared" si="0"/>
        <v>800</v>
      </c>
      <c r="N69" s="30">
        <v>400</v>
      </c>
      <c r="O69" s="32"/>
      <c r="P69" s="28">
        <f>K69*N69+M69</f>
        <v>2400</v>
      </c>
      <c r="Q69" s="28">
        <f t="shared" si="6"/>
        <v>2400</v>
      </c>
      <c r="R69" s="34">
        <v>64</v>
      </c>
    </row>
    <row r="70" spans="2:18" s="4" customFormat="1" ht="18.95" customHeight="1">
      <c r="B70" s="6"/>
      <c r="C70" s="14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30"/>
      <c r="O70" s="32"/>
      <c r="P70" s="28"/>
      <c r="Q70" s="28"/>
      <c r="R70" s="34"/>
    </row>
    <row r="71" spans="2:18" s="4" customFormat="1" ht="18.95" customHeight="1">
      <c r="B71" s="6"/>
      <c r="C71" s="14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30"/>
      <c r="O71" s="32"/>
      <c r="P71" s="28"/>
      <c r="Q71" s="28"/>
      <c r="R71" s="34"/>
    </row>
    <row r="72" spans="2:18" s="4" customFormat="1" ht="20.100000000000001" customHeight="1">
      <c r="C72" s="36" t="s">
        <v>85</v>
      </c>
      <c r="D72" s="36"/>
      <c r="E72" s="36"/>
      <c r="F72" s="36"/>
      <c r="G72" s="36"/>
      <c r="H72" s="37"/>
      <c r="I72" s="36"/>
      <c r="J72" s="36"/>
      <c r="K72" s="36"/>
      <c r="L72" s="36"/>
      <c r="M72" s="36"/>
      <c r="N72" s="32"/>
      <c r="O72" s="32"/>
      <c r="P72" s="42">
        <v>172856.25</v>
      </c>
      <c r="Q72" s="42">
        <v>171856.25</v>
      </c>
      <c r="R72" s="4" t="s">
        <v>102</v>
      </c>
    </row>
    <row r="73" spans="2:18" ht="11.1" customHeight="1">
      <c r="C73" s="38"/>
      <c r="D73" s="38"/>
      <c r="E73" s="39"/>
      <c r="F73" s="39"/>
      <c r="G73" s="39"/>
      <c r="H73" s="39"/>
      <c r="I73" s="39"/>
      <c r="J73" s="39"/>
      <c r="K73" s="43"/>
      <c r="L73" s="44"/>
      <c r="M73" s="38"/>
      <c r="N73" s="45"/>
      <c r="O73" s="45"/>
      <c r="P73" s="45"/>
      <c r="Q73" s="45"/>
    </row>
    <row r="74" spans="2:18" ht="12.95" customHeight="1">
      <c r="C74" s="38"/>
      <c r="D74" s="38"/>
      <c r="E74" s="39"/>
      <c r="F74" s="39"/>
      <c r="G74" s="39"/>
      <c r="H74" s="39"/>
      <c r="I74" s="39"/>
      <c r="J74" s="39"/>
      <c r="K74" s="43"/>
      <c r="L74" s="44"/>
      <c r="M74" s="38"/>
      <c r="N74" s="45"/>
      <c r="O74" s="45"/>
      <c r="P74" s="45"/>
      <c r="Q74" s="45"/>
    </row>
    <row r="75" spans="2:18">
      <c r="C75" s="38" t="s">
        <v>86</v>
      </c>
      <c r="D75" s="38"/>
      <c r="E75" s="39"/>
      <c r="F75" s="39"/>
      <c r="G75" s="39"/>
      <c r="H75" s="39"/>
      <c r="I75" s="39"/>
      <c r="J75" s="39"/>
      <c r="K75" s="43"/>
      <c r="L75" s="44"/>
      <c r="M75" s="38"/>
    </row>
    <row r="76" spans="2:18">
      <c r="C76" s="40" t="s">
        <v>87</v>
      </c>
      <c r="K76" s="43"/>
      <c r="L76" s="44"/>
    </row>
    <row r="77" spans="2:18">
      <c r="K77" s="43"/>
      <c r="L77" s="44"/>
    </row>
    <row r="78" spans="2:18">
      <c r="K78" s="43"/>
      <c r="L78" s="44"/>
    </row>
    <row r="79" spans="2:18">
      <c r="K79" s="43" t="s">
        <v>88</v>
      </c>
      <c r="L79" s="44"/>
    </row>
    <row r="80" spans="2:18">
      <c r="K80" s="43"/>
      <c r="L80" s="44"/>
    </row>
  </sheetData>
  <mergeCells count="3">
    <mergeCell ref="B2:R2"/>
    <mergeCell ref="B3:R3"/>
    <mergeCell ref="B6:R6"/>
  </mergeCells>
  <pageMargins left="0.7" right="0.45" top="0.65500000000000003" bottom="0.75" header="0.3" footer="0.3"/>
  <pageSetup paperSize="9" scale="92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FEB 13-19</vt:lpstr>
      <vt:lpstr>feb 6-12</vt:lpstr>
      <vt:lpstr>JAN 30-FEB 5</vt:lpstr>
      <vt:lpstr>JAN 23-29</vt:lpstr>
      <vt:lpstr>jan 16-22</vt:lpstr>
      <vt:lpstr>'FEB 13-19'!Print_Area</vt:lpstr>
      <vt:lpstr>'feb 6-12'!Print_Area</vt:lpstr>
      <vt:lpstr>'jan 16-22'!Print_Area</vt:lpstr>
      <vt:lpstr>'JAN 23-29'!Print_Area</vt:lpstr>
      <vt:lpstr>'JAN 30-FEB 5'!Print_Area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MACKY</cp:lastModifiedBy>
  <dcterms:created xsi:type="dcterms:W3CDTF">2026-01-23T02:20:00Z</dcterms:created>
  <dcterms:modified xsi:type="dcterms:W3CDTF">2026-02-27T07:49:55Z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DA2292520FFC4CFA9EB12FE90FEC9EFB_11</vt:lpwstr>
  </property>
  <property fmtid="{D5CDD505-2E9C-101B-9397-08002B2CF9AE}" pid="3" name="KSOProductBuildVer">
    <vt:lpwstr>1033-12.2.0.23196</vt:lpwstr>
  </property>
</Properties>
</file>